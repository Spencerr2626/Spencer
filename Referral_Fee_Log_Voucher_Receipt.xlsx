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 Log" sheetId="1" state="visible" r:id="rId1"/>
    <sheet xmlns:r="http://schemas.openxmlformats.org/officeDocument/2006/relationships" name="Payment Voucher (Sample)" sheetId="2" state="visible" r:id="rId2"/>
    <sheet xmlns:r="http://schemas.openxmlformats.org/officeDocument/2006/relationships" name="Official Receipt (Sampl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b val="1"/>
      <sz val="15"/>
    </font>
    <font>
      <color rgb="00555555"/>
      <sz val="9"/>
    </font>
    <font>
      <b val="1"/>
      <color rgb="00FFFFFF"/>
      <sz val="14"/>
    </font>
    <font>
      <b val="1"/>
      <color rgb="00FFFFFF"/>
      <sz val="10"/>
    </font>
    <font>
      <b val="1"/>
    </font>
    <font>
      <i val="1"/>
      <color rgb="00777777"/>
      <sz val="8"/>
    </font>
    <font>
      <b val="1"/>
      <sz val="10"/>
    </font>
    <font>
      <b val="1"/>
      <color rgb="00FFFFFF"/>
    </font>
    <font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9D6"/>
      </patternFill>
    </fill>
    <fill>
      <patternFill patternType="solid">
        <fgColor rgb="00F5C518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/>
      <bottom style="thin">
        <color rgb="00999999"/>
      </bottom>
      <diagonal/>
    </border>
    <border>
      <right/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5" fillId="4" borderId="1" applyAlignment="1" pivotButton="0" quotePrefix="0" xfId="0">
      <alignment horizontal="right"/>
    </xf>
    <xf numFmtId="4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2" pivotButton="0" quotePrefix="0" xfId="0"/>
    <xf numFmtId="0" fontId="8" fillId="2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/>
    </xf>
    <xf numFmtId="0" fontId="9" fillId="0" borderId="0" pivotButton="0" quotePrefix="0" xfId="0"/>
    <xf numFmtId="0" fontId="6" fillId="0" borderId="0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2" customWidth="1" min="4" max="4"/>
    <col width="18" customWidth="1" min="5" max="5"/>
    <col width="26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</cols>
  <sheetData>
    <row r="1">
      <c r="A1" s="1" t="inlineStr">
        <is>
          <t>KOMMONS REALTY SDN BHD</t>
        </is>
      </c>
    </row>
    <row r="2">
      <c r="A2" s="2" t="inlineStr">
        <is>
          <t>Registration No. 201801027637   ·   REN 72821 (Spencer Leong)</t>
        </is>
      </c>
    </row>
    <row r="3">
      <c r="A3" s="2" t="inlineStr">
        <is>
          <t>J-2-7, No 2 Jalan Solaris, Solaris Mont Kiara, 50480 Kuala Lumpur   ·   Tel +603 6413 0178</t>
        </is>
      </c>
    </row>
    <row r="5" ht="24" customHeight="1">
      <c r="A5" s="3" t="inlineStr">
        <is>
          <t>REFERRAL FEE PAYMENT LOG  (for LHDN records)</t>
        </is>
      </c>
    </row>
    <row r="7" ht="30" customHeight="1">
      <c r="A7" s="4" t="inlineStr">
        <is>
          <t>No.</t>
        </is>
      </c>
      <c r="B7" s="4" t="inlineStr">
        <is>
          <t>Voucher No.</t>
        </is>
      </c>
      <c r="C7" s="4" t="inlineStr">
        <is>
          <t>Date</t>
        </is>
      </c>
      <c r="D7" s="4" t="inlineStr">
        <is>
          <t>Payee (Referrer)</t>
        </is>
      </c>
      <c r="E7" s="4" t="inlineStr">
        <is>
          <t>IC / Reg No.</t>
        </is>
      </c>
      <c r="F7" s="4" t="inlineStr">
        <is>
          <t>Property / Client Ref</t>
        </is>
      </c>
      <c r="G7" s="4" t="inlineStr">
        <is>
          <t>Amount (RM)</t>
        </is>
      </c>
      <c r="H7" s="4" t="inlineStr">
        <is>
          <t>Payment Ref</t>
        </is>
      </c>
      <c r="I7" s="4" t="inlineStr">
        <is>
          <t>Receipt No.</t>
        </is>
      </c>
      <c r="J7" s="4" t="inlineStr">
        <is>
          <t>Running Total (RM)</t>
        </is>
      </c>
    </row>
    <row r="8">
      <c r="A8" s="5">
        <f>IF(D8="","",COUNTA($D$8:D8))</f>
        <v/>
      </c>
      <c r="B8" s="5">
        <f>IF(D8="","","PV/2026/"&amp;TEXT(A8,"000"))</f>
        <v/>
      </c>
      <c r="C8" s="6" t="inlineStr">
        <is>
          <t>15/07/2026</t>
        </is>
      </c>
      <c r="D8" s="5" t="inlineStr">
        <is>
          <t>Caryn</t>
        </is>
      </c>
      <c r="E8" s="5" t="inlineStr">
        <is>
          <t>xxxxxx-xx-xxxx</t>
        </is>
      </c>
      <c r="F8" s="5" t="inlineStr">
        <is>
          <t>Umesh Phadke, AB-39-02 MK 10</t>
        </is>
      </c>
      <c r="G8" s="7" t="n">
        <v>2000</v>
      </c>
      <c r="H8" s="5" t="inlineStr">
        <is>
          <t>TXN12345</t>
        </is>
      </c>
      <c r="I8" s="5" t="inlineStr">
        <is>
          <t>OR/2026/001</t>
        </is>
      </c>
      <c r="J8" s="7">
        <f>IF(G8="","",SUM($G$8:G8))</f>
        <v/>
      </c>
    </row>
    <row r="9">
      <c r="A9" s="5">
        <f>IF(D9="","",COUNTA($D$8:D9))</f>
        <v/>
      </c>
      <c r="B9" s="5">
        <f>IF(D9="","","PV/2026/"&amp;TEXT(A9,"000"))</f>
        <v/>
      </c>
      <c r="C9" s="6" t="inlineStr">
        <is>
          <t>20/07/2026</t>
        </is>
      </c>
      <c r="D9" s="5" t="inlineStr">
        <is>
          <t>Dr Lee</t>
        </is>
      </c>
      <c r="E9" s="5" t="inlineStr">
        <is>
          <t>xxxxxx-xx-xxxx</t>
        </is>
      </c>
      <c r="F9" s="5" t="inlineStr">
        <is>
          <t>Tenant referral, Sunway Palmville</t>
        </is>
      </c>
      <c r="G9" s="7" t="n">
        <v>1500</v>
      </c>
      <c r="H9" s="5" t="inlineStr">
        <is>
          <t>CHQ000123</t>
        </is>
      </c>
      <c r="I9" s="5" t="inlineStr">
        <is>
          <t>OR/2026/002</t>
        </is>
      </c>
      <c r="J9" s="7">
        <f>IF(G9="","",SUM($G$8:G9))</f>
        <v/>
      </c>
    </row>
    <row r="10">
      <c r="A10" s="8">
        <f>IF(D10="","",COUNTA($D$8:D10))</f>
        <v/>
      </c>
      <c r="B10" s="8">
        <f>IF(D10="","","PV/2026/"&amp;TEXT(A10,"000"))</f>
        <v/>
      </c>
      <c r="C10" s="9" t="inlineStr">
        <is>
          <t>19/09/2026</t>
        </is>
      </c>
      <c r="D10" s="8" t="inlineStr">
        <is>
          <t>Alfred Chan</t>
        </is>
      </c>
      <c r="E10" s="8" t="inlineStr">
        <is>
          <t>xxxxxx-xx-xxxx</t>
        </is>
      </c>
      <c r="F10" s="8" t="inlineStr">
        <is>
          <t>Datuk Francis — Hartamas Heights land (D001)</t>
        </is>
      </c>
      <c r="G10" s="10" t="n">
        <v>8700</v>
      </c>
      <c r="H10" s="8" t="inlineStr">
        <is>
          <t>M2U transfer</t>
        </is>
      </c>
      <c r="I10" s="8" t="inlineStr">
        <is>
          <t>OR/2026/003</t>
        </is>
      </c>
      <c r="J10" s="10">
        <f>IF(G10="","",SUM($G$8:G10))</f>
        <v/>
      </c>
    </row>
    <row r="11">
      <c r="A11" s="8">
        <f>IF(D11="","",COUNTA($D$8:D11))</f>
        <v/>
      </c>
      <c r="B11" s="8">
        <f>IF(D11="","","PV/2026/"&amp;TEXT(A11,"000"))</f>
        <v/>
      </c>
      <c r="C11" s="9" t="n"/>
      <c r="D11" s="8" t="n"/>
      <c r="E11" s="8" t="n"/>
      <c r="F11" s="8" t="n"/>
      <c r="G11" s="10" t="n"/>
      <c r="H11" s="8" t="n"/>
      <c r="I11" s="8" t="n"/>
      <c r="J11" s="10">
        <f>IF(G11="","",SUM($G$8:G11))</f>
        <v/>
      </c>
    </row>
    <row r="12">
      <c r="A12" s="8">
        <f>IF(D12="","",COUNTA($D$8:D12))</f>
        <v/>
      </c>
      <c r="B12" s="8">
        <f>IF(D12="","","PV/2026/"&amp;TEXT(A12,"000"))</f>
        <v/>
      </c>
      <c r="C12" s="9" t="n"/>
      <c r="D12" s="8" t="n"/>
      <c r="E12" s="8" t="n"/>
      <c r="F12" s="8" t="n"/>
      <c r="G12" s="10" t="n"/>
      <c r="H12" s="8" t="n"/>
      <c r="I12" s="8" t="n"/>
      <c r="J12" s="10">
        <f>IF(G12="","",SUM($G$8:G12))</f>
        <v/>
      </c>
    </row>
    <row r="13">
      <c r="A13" s="8">
        <f>IF(D13="","",COUNTA($D$8:D13))</f>
        <v/>
      </c>
      <c r="B13" s="8">
        <f>IF(D13="","","PV/2026/"&amp;TEXT(A13,"000"))</f>
        <v/>
      </c>
      <c r="C13" s="9" t="n"/>
      <c r="D13" s="8" t="n"/>
      <c r="E13" s="8" t="n"/>
      <c r="F13" s="8" t="n"/>
      <c r="G13" s="10" t="n"/>
      <c r="H13" s="8" t="n"/>
      <c r="I13" s="8" t="n"/>
      <c r="J13" s="10">
        <f>IF(G13="","",SUM($G$8:G13))</f>
        <v/>
      </c>
    </row>
    <row r="14">
      <c r="A14" s="8">
        <f>IF(D14="","",COUNTA($D$8:D14))</f>
        <v/>
      </c>
      <c r="B14" s="8">
        <f>IF(D14="","","PV/2026/"&amp;TEXT(A14,"000"))</f>
        <v/>
      </c>
      <c r="C14" s="9" t="n"/>
      <c r="D14" s="8" t="n"/>
      <c r="E14" s="8" t="n"/>
      <c r="F14" s="8" t="n"/>
      <c r="G14" s="10" t="n"/>
      <c r="H14" s="8" t="n"/>
      <c r="I14" s="8" t="n"/>
      <c r="J14" s="10">
        <f>IF(G14="","",SUM($G$8:G14))</f>
        <v/>
      </c>
    </row>
    <row r="15">
      <c r="A15" s="8">
        <f>IF(D15="","",COUNTA($D$8:D15))</f>
        <v/>
      </c>
      <c r="B15" s="8">
        <f>IF(D15="","","PV/2026/"&amp;TEXT(A15,"000"))</f>
        <v/>
      </c>
      <c r="C15" s="9" t="n"/>
      <c r="D15" s="8" t="n"/>
      <c r="E15" s="8" t="n"/>
      <c r="F15" s="8" t="n"/>
      <c r="G15" s="10" t="n"/>
      <c r="H15" s="8" t="n"/>
      <c r="I15" s="8" t="n"/>
      <c r="J15" s="10">
        <f>IF(G15="","",SUM($G$8:G15))</f>
        <v/>
      </c>
    </row>
    <row r="16">
      <c r="A16" s="8">
        <f>IF(D16="","",COUNTA($D$8:D16))</f>
        <v/>
      </c>
      <c r="B16" s="8">
        <f>IF(D16="","","PV/2026/"&amp;TEXT(A16,"000"))</f>
        <v/>
      </c>
      <c r="C16" s="9" t="n"/>
      <c r="D16" s="8" t="n"/>
      <c r="E16" s="8" t="n"/>
      <c r="F16" s="8" t="n"/>
      <c r="G16" s="10" t="n"/>
      <c r="H16" s="8" t="n"/>
      <c r="I16" s="8" t="n"/>
      <c r="J16" s="10">
        <f>IF(G16="","",SUM($G$8:G16))</f>
        <v/>
      </c>
    </row>
    <row r="17">
      <c r="A17" s="8">
        <f>IF(D17="","",COUNTA($D$8:D17))</f>
        <v/>
      </c>
      <c r="B17" s="8">
        <f>IF(D17="","","PV/2026/"&amp;TEXT(A17,"000"))</f>
        <v/>
      </c>
      <c r="C17" s="9" t="n"/>
      <c r="D17" s="8" t="n"/>
      <c r="E17" s="8" t="n"/>
      <c r="F17" s="8" t="n"/>
      <c r="G17" s="10" t="n"/>
      <c r="H17" s="8" t="n"/>
      <c r="I17" s="8" t="n"/>
      <c r="J17" s="10">
        <f>IF(G17="","",SUM($G$8:G17))</f>
        <v/>
      </c>
    </row>
    <row r="18">
      <c r="A18" s="8">
        <f>IF(D18="","",COUNTA($D$8:D18))</f>
        <v/>
      </c>
      <c r="B18" s="8">
        <f>IF(D18="","","PV/2026/"&amp;TEXT(A18,"000"))</f>
        <v/>
      </c>
      <c r="C18" s="9" t="n"/>
      <c r="D18" s="8" t="n"/>
      <c r="E18" s="8" t="n"/>
      <c r="F18" s="8" t="n"/>
      <c r="G18" s="10" t="n"/>
      <c r="H18" s="8" t="n"/>
      <c r="I18" s="8" t="n"/>
      <c r="J18" s="10">
        <f>IF(G18="","",SUM($G$8:G18))</f>
        <v/>
      </c>
    </row>
    <row r="19">
      <c r="A19" s="8">
        <f>IF(D19="","",COUNTA($D$8:D19))</f>
        <v/>
      </c>
      <c r="B19" s="8">
        <f>IF(D19="","","PV/2026/"&amp;TEXT(A19,"000"))</f>
        <v/>
      </c>
      <c r="C19" s="9" t="n"/>
      <c r="D19" s="8" t="n"/>
      <c r="E19" s="8" t="n"/>
      <c r="F19" s="8" t="n"/>
      <c r="G19" s="10" t="n"/>
      <c r="H19" s="8" t="n"/>
      <c r="I19" s="8" t="n"/>
      <c r="J19" s="10">
        <f>IF(G19="","",SUM($G$8:G19))</f>
        <v/>
      </c>
    </row>
    <row r="20">
      <c r="A20" s="8">
        <f>IF(D20="","",COUNTA($D$8:D20))</f>
        <v/>
      </c>
      <c r="B20" s="8">
        <f>IF(D20="","","PV/2026/"&amp;TEXT(A20,"000"))</f>
        <v/>
      </c>
      <c r="C20" s="9" t="n"/>
      <c r="D20" s="8" t="n"/>
      <c r="E20" s="8" t="n"/>
      <c r="F20" s="8" t="n"/>
      <c r="G20" s="10" t="n"/>
      <c r="H20" s="8" t="n"/>
      <c r="I20" s="8" t="n"/>
      <c r="J20" s="10">
        <f>IF(G20="","",SUM($G$8:G20))</f>
        <v/>
      </c>
    </row>
    <row r="21">
      <c r="A21" s="8">
        <f>IF(D21="","",COUNTA($D$8:D21))</f>
        <v/>
      </c>
      <c r="B21" s="8">
        <f>IF(D21="","","PV/2026/"&amp;TEXT(A21,"000"))</f>
        <v/>
      </c>
      <c r="C21" s="9" t="n"/>
      <c r="D21" s="8" t="n"/>
      <c r="E21" s="8" t="n"/>
      <c r="F21" s="8" t="n"/>
      <c r="G21" s="10" t="n"/>
      <c r="H21" s="8" t="n"/>
      <c r="I21" s="8" t="n"/>
      <c r="J21" s="10">
        <f>IF(G21="","",SUM($G$8:G21))</f>
        <v/>
      </c>
    </row>
    <row r="22">
      <c r="A22" s="8">
        <f>IF(D22="","",COUNTA($D$8:D22))</f>
        <v/>
      </c>
      <c r="B22" s="8">
        <f>IF(D22="","","PV/2026/"&amp;TEXT(A22,"000"))</f>
        <v/>
      </c>
      <c r="C22" s="9" t="n"/>
      <c r="D22" s="8" t="n"/>
      <c r="E22" s="8" t="n"/>
      <c r="F22" s="8" t="n"/>
      <c r="G22" s="10" t="n"/>
      <c r="H22" s="8" t="n"/>
      <c r="I22" s="8" t="n"/>
      <c r="J22" s="10">
        <f>IF(G22="","",SUM($G$8:G22))</f>
        <v/>
      </c>
    </row>
    <row r="23">
      <c r="A23" s="8">
        <f>IF(D23="","",COUNTA($D$8:D23))</f>
        <v/>
      </c>
      <c r="B23" s="8">
        <f>IF(D23="","","PV/2026/"&amp;TEXT(A23,"000"))</f>
        <v/>
      </c>
      <c r="C23" s="9" t="n"/>
      <c r="D23" s="8" t="n"/>
      <c r="E23" s="8" t="n"/>
      <c r="F23" s="8" t="n"/>
      <c r="G23" s="10" t="n"/>
      <c r="H23" s="8" t="n"/>
      <c r="I23" s="8" t="n"/>
      <c r="J23" s="10">
        <f>IF(G23="","",SUM($G$8:G23))</f>
        <v/>
      </c>
    </row>
    <row r="24">
      <c r="A24" s="8">
        <f>IF(D24="","",COUNTA($D$8:D24))</f>
        <v/>
      </c>
      <c r="B24" s="8">
        <f>IF(D24="","","PV/2026/"&amp;TEXT(A24,"000"))</f>
        <v/>
      </c>
      <c r="C24" s="9" t="n"/>
      <c r="D24" s="8" t="n"/>
      <c r="E24" s="8" t="n"/>
      <c r="F24" s="8" t="n"/>
      <c r="G24" s="10" t="n"/>
      <c r="H24" s="8" t="n"/>
      <c r="I24" s="8" t="n"/>
      <c r="J24" s="10">
        <f>IF(G24="","",SUM($G$8:G24))</f>
        <v/>
      </c>
    </row>
    <row r="25">
      <c r="A25" s="8">
        <f>IF(D25="","",COUNTA($D$8:D25))</f>
        <v/>
      </c>
      <c r="B25" s="8">
        <f>IF(D25="","","PV/2026/"&amp;TEXT(A25,"000"))</f>
        <v/>
      </c>
      <c r="C25" s="9" t="n"/>
      <c r="D25" s="8" t="n"/>
      <c r="E25" s="8" t="n"/>
      <c r="F25" s="8" t="n"/>
      <c r="G25" s="10" t="n"/>
      <c r="H25" s="8" t="n"/>
      <c r="I25" s="8" t="n"/>
      <c r="J25" s="10">
        <f>IF(G25="","",SUM($G$8:G25))</f>
        <v/>
      </c>
    </row>
    <row r="26">
      <c r="A26" s="8">
        <f>IF(D26="","",COUNTA($D$8:D26))</f>
        <v/>
      </c>
      <c r="B26" s="8">
        <f>IF(D26="","","PV/2026/"&amp;TEXT(A26,"000"))</f>
        <v/>
      </c>
      <c r="C26" s="9" t="n"/>
      <c r="D26" s="8" t="n"/>
      <c r="E26" s="8" t="n"/>
      <c r="F26" s="8" t="n"/>
      <c r="G26" s="10" t="n"/>
      <c r="H26" s="8" t="n"/>
      <c r="I26" s="8" t="n"/>
      <c r="J26" s="10">
        <f>IF(G26="","",SUM($G$8:G26))</f>
        <v/>
      </c>
    </row>
    <row r="27">
      <c r="A27" s="8">
        <f>IF(D27="","",COUNTA($D$8:D27))</f>
        <v/>
      </c>
      <c r="B27" s="8">
        <f>IF(D27="","","PV/2026/"&amp;TEXT(A27,"000"))</f>
        <v/>
      </c>
      <c r="C27" s="9" t="n"/>
      <c r="D27" s="8" t="n"/>
      <c r="E27" s="8" t="n"/>
      <c r="F27" s="8" t="n"/>
      <c r="G27" s="10" t="n"/>
      <c r="H27" s="8" t="n"/>
      <c r="I27" s="8" t="n"/>
      <c r="J27" s="10">
        <f>IF(G27="","",SUM($G$8:G27))</f>
        <v/>
      </c>
    </row>
    <row r="28">
      <c r="A28" s="8">
        <f>IF(D28="","",COUNTA($D$8:D28))</f>
        <v/>
      </c>
      <c r="B28" s="8">
        <f>IF(D28="","","PV/2026/"&amp;TEXT(A28,"000"))</f>
        <v/>
      </c>
      <c r="C28" s="9" t="n"/>
      <c r="D28" s="8" t="n"/>
      <c r="E28" s="8" t="n"/>
      <c r="F28" s="8" t="n"/>
      <c r="G28" s="10" t="n"/>
      <c r="H28" s="8" t="n"/>
      <c r="I28" s="8" t="n"/>
      <c r="J28" s="10">
        <f>IF(G28="","",SUM($G$8:G28))</f>
        <v/>
      </c>
    </row>
    <row r="29">
      <c r="A29" s="8">
        <f>IF(D29="","",COUNTA($D$8:D29))</f>
        <v/>
      </c>
      <c r="B29" s="8">
        <f>IF(D29="","","PV/2026/"&amp;TEXT(A29,"000"))</f>
        <v/>
      </c>
      <c r="C29" s="9" t="n"/>
      <c r="D29" s="8" t="n"/>
      <c r="E29" s="8" t="n"/>
      <c r="F29" s="8" t="n"/>
      <c r="G29" s="10" t="n"/>
      <c r="H29" s="8" t="n"/>
      <c r="I29" s="8" t="n"/>
      <c r="J29" s="10">
        <f>IF(G29="","",SUM($G$8:G29))</f>
        <v/>
      </c>
    </row>
    <row r="30">
      <c r="A30" s="8">
        <f>IF(D30="","",COUNTA($D$8:D30))</f>
        <v/>
      </c>
      <c r="B30" s="8">
        <f>IF(D30="","","PV/2026/"&amp;TEXT(A30,"000"))</f>
        <v/>
      </c>
      <c r="C30" s="9" t="n"/>
      <c r="D30" s="8" t="n"/>
      <c r="E30" s="8" t="n"/>
      <c r="F30" s="8" t="n"/>
      <c r="G30" s="10" t="n"/>
      <c r="H30" s="8" t="n"/>
      <c r="I30" s="8" t="n"/>
      <c r="J30" s="10">
        <f>IF(G30="","",SUM($G$8:G30))</f>
        <v/>
      </c>
    </row>
    <row r="31">
      <c r="A31" s="8">
        <f>IF(D31="","",COUNTA($D$8:D31))</f>
        <v/>
      </c>
      <c r="B31" s="8">
        <f>IF(D31="","","PV/2026/"&amp;TEXT(A31,"000"))</f>
        <v/>
      </c>
      <c r="C31" s="9" t="n"/>
      <c r="D31" s="8" t="n"/>
      <c r="E31" s="8" t="n"/>
      <c r="F31" s="8" t="n"/>
      <c r="G31" s="10" t="n"/>
      <c r="H31" s="8" t="n"/>
      <c r="I31" s="8" t="n"/>
      <c r="J31" s="10">
        <f>IF(G31="","",SUM($G$8:G31))</f>
        <v/>
      </c>
    </row>
    <row r="32">
      <c r="A32" s="8">
        <f>IF(D32="","",COUNTA($D$8:D32))</f>
        <v/>
      </c>
      <c r="B32" s="8">
        <f>IF(D32="","","PV/2026/"&amp;TEXT(A32,"000"))</f>
        <v/>
      </c>
      <c r="C32" s="9" t="n"/>
      <c r="D32" s="8" t="n"/>
      <c r="E32" s="8" t="n"/>
      <c r="F32" s="8" t="n"/>
      <c r="G32" s="10" t="n"/>
      <c r="H32" s="8" t="n"/>
      <c r="I32" s="8" t="n"/>
      <c r="J32" s="10">
        <f>IF(G32="","",SUM($G$8:G32))</f>
        <v/>
      </c>
    </row>
    <row r="33">
      <c r="A33" s="8">
        <f>IF(D33="","",COUNTA($D$8:D33))</f>
        <v/>
      </c>
      <c r="B33" s="8">
        <f>IF(D33="","","PV/2026/"&amp;TEXT(A33,"000"))</f>
        <v/>
      </c>
      <c r="C33" s="9" t="n"/>
      <c r="D33" s="8" t="n"/>
      <c r="E33" s="8" t="n"/>
      <c r="F33" s="8" t="n"/>
      <c r="G33" s="10" t="n"/>
      <c r="H33" s="8" t="n"/>
      <c r="I33" s="8" t="n"/>
      <c r="J33" s="10">
        <f>IF(G33="","",SUM($G$8:G33))</f>
        <v/>
      </c>
    </row>
    <row r="34">
      <c r="A34" s="8">
        <f>IF(D34="","",COUNTA($D$8:D34))</f>
        <v/>
      </c>
      <c r="B34" s="8">
        <f>IF(D34="","","PV/2026/"&amp;TEXT(A34,"000"))</f>
        <v/>
      </c>
      <c r="C34" s="9" t="n"/>
      <c r="D34" s="8" t="n"/>
      <c r="E34" s="8" t="n"/>
      <c r="F34" s="8" t="n"/>
      <c r="G34" s="10" t="n"/>
      <c r="H34" s="8" t="n"/>
      <c r="I34" s="8" t="n"/>
      <c r="J34" s="10">
        <f>IF(G34="","",SUM($G$8:G34))</f>
        <v/>
      </c>
    </row>
    <row r="35">
      <c r="A35" s="8">
        <f>IF(D35="","",COUNTA($D$8:D35))</f>
        <v/>
      </c>
      <c r="B35" s="8">
        <f>IF(D35="","","PV/2026/"&amp;TEXT(A35,"000"))</f>
        <v/>
      </c>
      <c r="C35" s="9" t="n"/>
      <c r="D35" s="8" t="n"/>
      <c r="E35" s="8" t="n"/>
      <c r="F35" s="8" t="n"/>
      <c r="G35" s="10" t="n"/>
      <c r="H35" s="8" t="n"/>
      <c r="I35" s="8" t="n"/>
      <c r="J35" s="10">
        <f>IF(G35="","",SUM($G$8:G35))</f>
        <v/>
      </c>
    </row>
    <row r="36">
      <c r="A36" s="11" t="inlineStr">
        <is>
          <t>TOTAL REFERRAL FEES PAID (RM)</t>
        </is>
      </c>
      <c r="B36" s="17" t="n"/>
      <c r="C36" s="17" t="n"/>
      <c r="D36" s="17" t="n"/>
      <c r="E36" s="17" t="n"/>
      <c r="F36" s="18" t="n"/>
      <c r="G36" s="12">
        <f>SUM(G8:G35)</f>
        <v/>
      </c>
      <c r="H36" s="8" t="n"/>
      <c r="I36" s="8" t="n"/>
      <c r="J36" s="8" t="n"/>
    </row>
    <row r="38">
      <c r="A38" s="13" t="inlineStr">
        <is>
          <t>Yellow rows are SAMPLES, delete and replace with your actual entries. No., Voucher No. and Running Total fill in automatically when you enter a Payee and Amount.</t>
        </is>
      </c>
    </row>
  </sheetData>
  <mergeCells count="6">
    <mergeCell ref="A3:K3"/>
    <mergeCell ref="A36:F36"/>
    <mergeCell ref="A38:K38"/>
    <mergeCell ref="A2:K2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KOMMONS REALTY SDN BHD</t>
        </is>
      </c>
    </row>
    <row r="2">
      <c r="A2" s="2" t="inlineStr">
        <is>
          <t>Registration No. 201801027637   ·   REN 72821 (Spencer Leong)</t>
        </is>
      </c>
    </row>
    <row r="3">
      <c r="A3" s="2" t="inlineStr">
        <is>
          <t>J-2-7, No 2 Jalan Solaris, Solaris Mont Kiara, 50480 Kuala Lumpur   ·   Tel +603 6413 0178</t>
        </is>
      </c>
    </row>
    <row r="5" ht="24" customHeight="1">
      <c r="A5" s="3" t="inlineStr">
        <is>
          <t>PAYMENT VOUCHER</t>
        </is>
      </c>
    </row>
    <row r="7">
      <c r="A7" s="14" t="inlineStr">
        <is>
          <t>Voucher No.:</t>
        </is>
      </c>
      <c r="B7" s="23" t="inlineStr">
        <is>
          <t>PV/2026/001</t>
        </is>
      </c>
      <c r="C7" s="22" t="n"/>
      <c r="D7" s="14" t="inlineStr">
        <is>
          <t>Date:</t>
        </is>
      </c>
      <c r="E7" s="15" t="inlineStr">
        <is>
          <t>15/07/2026</t>
        </is>
      </c>
    </row>
    <row r="9">
      <c r="A9" s="14" t="inlineStr">
        <is>
          <t>Paid To:</t>
        </is>
      </c>
      <c r="B9" s="23" t="inlineStr">
        <is>
          <t>Caryn</t>
        </is>
      </c>
      <c r="C9" s="22" t="n"/>
      <c r="D9" s="22" t="n"/>
      <c r="E9" s="22" t="n"/>
    </row>
    <row r="11">
      <c r="A11" s="14" t="inlineStr">
        <is>
          <t>IC / Passport / Reg No.:</t>
        </is>
      </c>
      <c r="C11" s="23" t="inlineStr">
        <is>
          <t>xxxxxx-xx-xxxx</t>
        </is>
      </c>
      <c r="D11" s="22" t="n"/>
      <c r="E11" s="22" t="n"/>
    </row>
    <row r="13">
      <c r="A13" s="14" t="n"/>
      <c r="B13" s="23" t="inlineStr"/>
      <c r="C13" s="22" t="n"/>
      <c r="D13" s="22" t="n"/>
      <c r="E13" s="22" t="n"/>
    </row>
    <row r="15">
      <c r="A15" s="16" t="inlineStr">
        <is>
          <t>No.</t>
        </is>
      </c>
      <c r="B15" s="16" t="inlineStr">
        <is>
          <t>Particulars / Description</t>
        </is>
      </c>
      <c r="C15" s="16" t="inlineStr">
        <is>
          <t>Amount (RM)</t>
        </is>
      </c>
      <c r="D15" s="17" t="n"/>
      <c r="E15" s="18" t="n"/>
    </row>
    <row r="16">
      <c r="A16" s="19" t="inlineStr">
        <is>
          <t>1</t>
        </is>
      </c>
      <c r="B16" s="8" t="inlineStr">
        <is>
          <t>Referral fee for Umesh Phadke, AB-39-02 MK 10</t>
        </is>
      </c>
      <c r="C16" s="10" t="n">
        <v>2000</v>
      </c>
      <c r="D16" s="17" t="n"/>
      <c r="E16" s="18" t="n"/>
    </row>
    <row r="17">
      <c r="A17" s="19" t="inlineStr">
        <is>
          <t>2</t>
        </is>
      </c>
      <c r="B17" s="8" t="inlineStr"/>
      <c r="C17" s="8" t="n"/>
      <c r="D17" s="17" t="n"/>
      <c r="E17" s="18" t="n"/>
    </row>
    <row r="18">
      <c r="A18" s="19" t="inlineStr">
        <is>
          <t>3</t>
        </is>
      </c>
      <c r="B18" s="8" t="inlineStr"/>
      <c r="C18" s="8" t="n"/>
      <c r="D18" s="17" t="n"/>
      <c r="E18" s="18" t="n"/>
    </row>
    <row r="19">
      <c r="A19" s="11" t="inlineStr">
        <is>
          <t>TOTAL (RM)</t>
        </is>
      </c>
      <c r="B19" s="18" t="n"/>
      <c r="C19" s="12">
        <f>SUM(C16:C18)</f>
        <v/>
      </c>
      <c r="D19" s="17" t="n"/>
      <c r="E19" s="18" t="n"/>
    </row>
    <row r="21">
      <c r="A21" s="14" t="inlineStr">
        <is>
          <t>Ringgit Malaysia (in words):</t>
        </is>
      </c>
      <c r="B21" s="23" t="inlineStr">
        <is>
          <t>Two Thousand Only</t>
        </is>
      </c>
      <c r="C21" s="22" t="n"/>
      <c r="D21" s="22" t="n"/>
      <c r="E21" s="22" t="n"/>
    </row>
    <row r="23">
      <c r="A23" s="14" t="n"/>
    </row>
    <row r="24">
      <c r="A24" s="14" t="n"/>
    </row>
    <row r="27">
      <c r="A27" t="inlineStr">
        <is>
          <t>_____________________</t>
        </is>
      </c>
      <c r="C27" t="inlineStr">
        <is>
          <t>_____________________</t>
        </is>
      </c>
      <c r="E27" t="inlineStr">
        <is>
          <t>_____________________</t>
        </is>
      </c>
    </row>
    <row r="28">
      <c r="A28" s="2" t="inlineStr">
        <is>
          <t>Prepared by</t>
        </is>
      </c>
      <c r="C28" s="2" t="inlineStr">
        <is>
          <t>Approved by</t>
        </is>
      </c>
      <c r="E28" s="2" t="inlineStr">
        <is>
          <t>Received by (Payee)</t>
        </is>
      </c>
    </row>
    <row r="30">
      <c r="A30" s="13" t="inlineStr">
        <is>
          <t>Keep this voucher with the payee’s signed Official Receipt and proof of payment for LHDN.</t>
        </is>
      </c>
    </row>
  </sheetData>
  <mergeCells count="16">
    <mergeCell ref="C16:E16"/>
    <mergeCell ref="A30:E30"/>
    <mergeCell ref="B9:E9"/>
    <mergeCell ref="C11:E11"/>
    <mergeCell ref="B7:C7"/>
    <mergeCell ref="A2:E2"/>
    <mergeCell ref="C19:E19"/>
    <mergeCell ref="B13:E13"/>
    <mergeCell ref="A19:B19"/>
    <mergeCell ref="B21:E21"/>
    <mergeCell ref="C18:E18"/>
    <mergeCell ref="A1:E1"/>
    <mergeCell ref="A5:E5"/>
    <mergeCell ref="C17:E17"/>
    <mergeCell ref="C15:E1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KOMMONS REALTY SDN BHD</t>
        </is>
      </c>
    </row>
    <row r="2">
      <c r="A2" s="2" t="inlineStr">
        <is>
          <t>Registration No. 201801027637   ·   REN 72821 (Spencer Leong)</t>
        </is>
      </c>
    </row>
    <row r="3">
      <c r="A3" s="2" t="inlineStr">
        <is>
          <t>J-2-7, No 2 Jalan Solaris, Solaris Mont Kiara, 50480 Kuala Lumpur   ·   Tel +603 6413 0178</t>
        </is>
      </c>
    </row>
    <row r="5" ht="24" customHeight="1">
      <c r="A5" s="3" t="inlineStr">
        <is>
          <t>OFFICIAL RECEIPT</t>
        </is>
      </c>
    </row>
    <row r="7">
      <c r="A7" s="14" t="inlineStr">
        <is>
          <t>Receipt No.:</t>
        </is>
      </c>
      <c r="B7" s="23" t="inlineStr">
        <is>
          <t>OR/2026/001</t>
        </is>
      </c>
      <c r="C7" s="22" t="n"/>
      <c r="D7" s="14" t="inlineStr">
        <is>
          <t>Date:</t>
        </is>
      </c>
      <c r="E7" s="15" t="inlineStr">
        <is>
          <t>15/07/2026</t>
        </is>
      </c>
    </row>
    <row r="9">
      <c r="A9" s="14" t="inlineStr">
        <is>
          <t>Received From:</t>
        </is>
      </c>
      <c r="B9" s="23" t="inlineStr">
        <is>
          <t>Kommons Realty Sdn Bhd</t>
        </is>
      </c>
      <c r="C9" s="22" t="n"/>
      <c r="D9" s="22" t="n"/>
      <c r="E9" s="22" t="n"/>
    </row>
    <row r="11">
      <c r="A11" s="14" t="inlineStr">
        <is>
          <t>The Sum of Ringgit Malaysia (in words):</t>
        </is>
      </c>
    </row>
    <row r="12">
      <c r="A12" s="23" t="inlineStr">
        <is>
          <t>Two Thousand Only</t>
        </is>
      </c>
      <c r="B12" s="22" t="n"/>
      <c r="C12" s="22" t="n"/>
      <c r="D12" s="22" t="n"/>
      <c r="E12" s="22" t="n"/>
    </row>
    <row r="14">
      <c r="A14" s="14" t="inlineStr">
        <is>
          <t>Amount (RM):</t>
        </is>
      </c>
      <c r="B14" s="12" t="n">
        <v>2000</v>
      </c>
      <c r="C14" s="18" t="n"/>
    </row>
    <row r="16">
      <c r="A16" s="14" t="inlineStr">
        <is>
          <t>Being Payment For:</t>
        </is>
      </c>
      <c r="B16" s="23" t="inlineStr">
        <is>
          <t>Referral fee, Umesh Phadke (AB-39-02 MK 10)</t>
        </is>
      </c>
      <c r="C16" s="22" t="n"/>
      <c r="D16" s="22" t="n"/>
      <c r="E16" s="22" t="n"/>
    </row>
    <row r="18">
      <c r="A18" s="14" t="n"/>
    </row>
    <row r="22">
      <c r="D22" t="inlineStr">
        <is>
          <t>_____________________</t>
        </is>
      </c>
    </row>
    <row r="23">
      <c r="D23" s="2" t="inlineStr">
        <is>
          <t>Received by / Authorised Signature</t>
        </is>
      </c>
    </row>
    <row r="24">
      <c r="D24" s="20" t="inlineStr">
        <is>
          <t>Name: Caryn</t>
        </is>
      </c>
    </row>
    <row r="27" ht="28" customHeight="1">
      <c r="A27" s="21" t="inlineStr">
        <is>
          <t>For LHDN: keep the referrer’s IC/Reg No. Referral fees to non-residents may attract withholding tax, confirm with your tax agent.</t>
        </is>
      </c>
    </row>
  </sheetData>
  <mergeCells count="11">
    <mergeCell ref="B9:E9"/>
    <mergeCell ref="A12:E12"/>
    <mergeCell ref="B7:C7"/>
    <mergeCell ref="A2:E2"/>
    <mergeCell ref="B16:E16"/>
    <mergeCell ref="C18:E18"/>
    <mergeCell ref="A1:E1"/>
    <mergeCell ref="A5:E5"/>
    <mergeCell ref="B14:C14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2026-07-10T04:28:42Z</dcterms:created>
  <dcterms:modified xmlns:dcterms="http://purl.org/dc/terms/" xmlns:xsi="http://www.w3.org/2001/XMLSchema-instance" xsi:type="dcterms:W3CDTF">2026-09-19T10:28:55Z</dcterms:modified>
</cp:coreProperties>
</file>