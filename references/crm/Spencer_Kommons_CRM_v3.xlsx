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<sst xmlns="http://schemas.openxmlformats.org/spreadsheetml/2006/main" count="1559" uniqueCount="720">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</sst>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INTERESTED in 9 Jln Laman Setiakasih 8 DH (RM9.2m) after 09/06 viewing. Also wants to view Hartamas Heights &amp; Country Heights Damansara bungalows, prefers ~7,000–8,000 sqft.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Gombak (Patrick Chow's unit)</t>
        </is>
      </c>
      <c r="I15" s="74" t="inlineStr">
        <is>
          <t xml:space="preserve">Tenant</t>
        </is>
      </c>
      <c r="J15" s="74" t="inlineStr">
        <is>
          <t xml:space="preserve">Details shared — pending HQ</t>
        </is>
      </c>
      <c r="K15" s="73" t="inlineStr">
        <is>
          <t xml:space="preserve">Hot 🔥</t>
        </is>
      </c>
      <c r="L15" s="74" t="inlineStr">
        <is>
          <t xml:space="preserve">KLTS Gombak</t>
        </is>
      </c>
      <c r="M15" s="73" t="inlineStr">
        <is>
          <t xml:space="preserve">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Gombak (Patrick Chow's unit)</t>
        </is>
      </c>
      <c r="R15" s="75"/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Gombak shoplot @ RM9,000/mo. Shared all details 09/06; pending client to propose to HQ and revert.</t>
        </is>
      </c>
      <c r="V15" s="75" t="inlineStr">
        <is>
          <t xml:space="preserve">F&amp;B Tenant / Shoplot</t>
        </is>
      </c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Viewed 3 landed 09/06 — INTERESTED in 9 Jln Laman Setiakasih 8 DH (6,600sf, 4+1, RM9.2m). 11/06: 119 Sunway Kiara Hills (RM4.5m) still on.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Discuss offer on Laman Setiakasih 8; negotiate. Source Hartamas Heights &amp; Country Heights Damansara bungalows ~7,000–8,000sf for viewing. 11/06 Sunway Kiara Hills still on.</t>
        </is>
      </c>
      <c r="K5" s="11" t="inlineStr">
        <is>
          <t xml:space="preserve">09/06 (Tue) 4pm The Residence MK; 5pm Setiamurni 1 DH; 6pm 9 Jln Laman Setiakasih 8 DH; 11/06 (Thu) 4pm 119 Sunway Kiara Hills (RM4.5m)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Pending HQ approval</t>
        </is>
      </c>
      <c r="H19" s="18" t="inlineStr">
        <is>
          <t xml:space="preserve">KLTS Gombak shoplot (Patrick Chow's unit) — RM9,000/mo</t>
        </is>
      </c>
      <c r="I19" s="18" t="inlineStr">
        <is>
          <t xml:space="preserve">Shared all details 09/06; pending client to propose to HQ and revert.</t>
        </is>
      </c>
      <c r="J19" s="17" t="inlineStr">
        <is>
          <t xml:space="preserve">Follow up on HQ decision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Gombak shoplot (Patrick Chow's unit)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Pending HQ approval</t>
        </is>
      </c>
      <c r="H11" s="50">
        <v>9000</v>
      </c>
      <c r="I11" s="51"/>
      <c r="J11" s="52">
        <v>9000</v>
      </c>
      <c r="K11" s="8"/>
      <c r="L11" s="8"/>
      <c r="M11" s="8"/>
      <c r="N11" s="8"/>
      <c r="O11" s="9" t="inlineStr">
        <is>
          <t xml:space="preserve">F&amp;B (Kenangan Coffee) for Patrick Chow's KLTS Gombak unit. Details shared 09/06; pending HQ. Follow up 10/06 2pm. Comm = 1 mth rent.</t>
        </is>
      </c>
    </row>
    <row r="12">
      <c r="A12" s="53" t="inlineStr">
        <is>
          <t xml:space="preserve">TOTAL ESTIMATED COMMISSION (if all close)</t>
        </is>
      </c>
      <c r="B12" s="54"/>
      <c r="C12" s="54"/>
      <c r="D12" s="54"/>
      <c r="E12" s="54"/>
      <c r="F12" s="54"/>
      <c r="G12" s="54"/>
      <c r="H12" s="54"/>
      <c r="I12" s="55"/>
      <c r="J12" s="56">
        <f>SUM(J4:J11)</f>
        <v>421500</v>
      </c>
      <c r="K12" s="57"/>
      <c r="L12" s="57"/>
      <c r="M12" s="57"/>
      <c r="N12" s="57"/>
      <c r="O12" s="57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2:I12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61</t>
        </is>
      </c>
      <c r="B5" s="55"/>
      <c r="C5" s="25"/>
      <c r="D5" s="61" t="inlineStr">
        <is>
          <t>12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421.5k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8 active deals · 5 sale + 3 rent</t>
        </is>
      </c>
      <c r="E10" s="55"/>
      <c r="F10" s="25"/>
      <c r="G10" s="62" t="inlineStr">
        <is>
          <t xml:space="preserve">if all 8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