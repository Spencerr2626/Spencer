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<sst xmlns="http://schemas.openxmlformats.org/spreadsheetml/2006/main" count="1559" uniqueCount="720">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</sst>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s">
        <v>33</v>
      </c>
      <c r="M4" s="10">
        <v>9500.0</v>
      </c>
      <c r="N4" s="10"/>
      <c r="O4" s="8"/>
      <c r="P4" s="9" t="s">
        <v>34</v>
      </c>
      <c r="Q4" s="9" t="s">
        <v>35</v>
      </c>
      <c r="R4" s="9" t="s">
        <v>36</v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inlineStr">
        <is>
          <t xml:space="preserve">Interested — Laman Setiakasih 8 (RM9.2m)</t>
        </is>
      </c>
      <c r="K5" s="11" t="s">
        <v>32</v>
      </c>
      <c r="L5" s="12" t="s">
        <v>45</v>
      </c>
      <c r="M5" s="13">
        <v>15000000</v>
      </c>
      <c r="N5" s="13"/>
      <c r="O5" s="11"/>
      <c r="P5" s="12" t="s">
        <v>46</v>
      </c>
      <c r="Q5" s="12"/>
      <c r="R5" s="12"/>
      <c r="S5" s="11" t="inlineStr">
        <is>
          <t xml:space="preserve">09/06/2026</t>
        </is>
      </c>
      <c r="T5" s="11" t="inlineStr">
        <is>
          <t xml:space="preserve">10/06/2026</t>
        </is>
      </c>
      <c r="U5" s="12" t="inlineStr">
        <is>
          <t xml:space="preserve">Local Chinese Loan Buyer. Keen on 9 Jln Laman Setiakasih 8 DH (RM9.2m) after 09/06. Now PREFERS bungalow LAND to build himself — viewing Hartamas Heights/Country Heights Damansara, ~7,000–8,000sf.</t>
        </is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12/06/2026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inlineStr">
        <is>
          <t xml:space="preserve">Viewing / Negotiating — Hijauan &amp; MK Damai</t>
        </is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inlineStr">
        <is>
          <t xml:space="preserve">09/06/2026</t>
        </is>
      </c>
      <c r="T7" s="14" t="inlineStr">
        <is>
          <t xml:space="preserve">12/06/2026</t>
        </is>
      </c>
      <c r="U7" s="15" t="inlineStr">
        <is>
          <t xml:space="preserve">Want to purchase for own stay, then rent out in future. Viewed Hijauan Kiara/MK Aman/MK Damai 07/06; prefers Hijauan Kiara &amp; MK Damai.</t>
        </is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46179</v>
      </c>
      <c r="T11" s="20">
        <v>46183</v>
      </c>
      <c r="U11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1" s="12" t="s">
        <v>104</v>
      </c>
    </row>
    <row r="12" ht="22.5" customHeight="1">
      <c r="A12" s="73" t="s">
        <v>105</v>
      </c>
      <c r="B12" s="74" t="s">
        <v>106</v>
      </c>
      <c r="C12" s="74" t="s">
        <v>26</v>
      </c>
      <c r="D12" s="73" t="s">
        <v>27</v>
      </c>
      <c r="E12" s="74" t="s">
        <v>107</v>
      </c>
      <c r="F12" s="74"/>
      <c r="G12" s="74" t="s">
        <v>6</v>
      </c>
      <c r="H12" s="74" t="s">
        <v>108</v>
      </c>
      <c r="I12" s="74" t="s">
        <v>54</v>
      </c>
      <c r="J12" s="74" t="s">
        <v>109</v>
      </c>
      <c r="K12" s="73" t="s">
        <v>32</v>
      </c>
      <c r="L12" s="74" t="s">
        <v>110</v>
      </c>
      <c r="M12" s="73" t="s">
        <v>111</v>
      </c>
      <c r="N12" s="73"/>
      <c r="O12" s="73" t="s">
        <v>57</v>
      </c>
      <c r="P12" s="74" t="s">
        <v>112</v>
      </c>
      <c r="Q12" s="75" t="s">
        <v>113</v>
      </c>
      <c r="R12" s="75" t="s">
        <v>114</v>
      </c>
      <c r="S12" s="76" t="inlineStr">
        <is>
          <t xml:space="preserve">08/06/2026</t>
        </is>
      </c>
      <c r="T12" s="76" t="inlineStr">
        <is>
          <t xml:space="preserve">11/06/2026</t>
        </is>
      </c>
      <c r="U12" s="75" t="inlineStr">
        <is>
          <t>Viewed AmanAra Residence (Bandar Utama) 04/06 via JY Kam co-broke. Follow-up sent 05/06 — awaiting decision. Confirm exact ask (CRM RM5.5k PF vs portal ~RM6.5k FF).</t>
        </is>
      </c>
      <c r="V12" s="75" t="s">
        <v>116</v>
      </c>
    </row>
    <row r="13" ht="22.5" customHeight="1">
      <c r="A13" s="73" t="inlineStr">
        <is>
          <t>L059</t>
        </is>
      </c>
      <c r="B13" s="74" t="inlineStr">
        <is>
          <t>Ms Norain</t>
        </is>
      </c>
      <c r="C13" s="74" t="inlineStr">
        <is>
          <t>Malaysian</t>
        </is>
      </c>
      <c r="D13" s="73" t="inlineStr">
        <is>
          <t>Malay, English</t>
        </is>
      </c>
      <c r="E13" s="74" t="inlineStr">
        <is>
          <t>+60162138240</t>
        </is>
      </c>
      <c r="F13" s="74"/>
      <c r="G13" s="74" t="inlineStr">
        <is>
          <t>WhatsApp</t>
        </is>
      </c>
      <c r="H13" s="74"/>
      <c r="I13" s="74" t="inlineStr">
        <is>
          <t>Owner</t>
        </is>
      </c>
      <c r="J13" s="74" t="inlineStr">
        <is>
          <t xml:space="preserve">Master Listing — showing 10/06</t>
        </is>
      </c>
      <c r="K13" s="73" t="inlineStr">
        <is>
          <t>Hot 🔥</t>
        </is>
      </c>
      <c r="L13" s="74" t="inlineStr">
        <is>
          <t>Mont Kiara</t>
        </is>
      </c>
      <c r="M13" s="73" t="inlineStr">
        <is>
          <t xml:space="preserve">7,500 /mo</t>
        </is>
      </c>
      <c r="N13" s="73"/>
      <c r="O13" s="73"/>
      <c r="P13" s="74" t="inlineStr">
        <is>
          <t>Condo</t>
        </is>
      </c>
      <c r="Q13" s="75" t="inlineStr">
        <is>
          <t>Astrea Mont Kiara</t>
        </is>
      </c>
      <c r="R13" s="75" t="inlineStr">
        <is>
          <t>12-07</t>
        </is>
      </c>
      <c r="S13" s="76"/>
      <c r="T13" s="76" t="inlineStr">
        <is>
          <t xml:space="preserve">10/06/2026</t>
        </is>
      </c>
      <c r="U13" s="75" t="inlineStr">
        <is>
          <t xml:space="preserve">Owner — Astrea MK 12-07, master rental listing @ RM7,500/mo. Showing 10/06 (Wed) 2pm to Korean tenant Ms Yoon (co-agent Kenie Yow).</t>
        </is>
      </c>
      <c r="V13" s="75" t="inlineStr">
        <is>
          <t>Owner / Rental listing</t>
        </is>
      </c>
    </row>
    <row r="14" ht="22.5" customHeight="1">
      <c r="A14" s="73" t="inlineStr">
        <is>
          <t xml:space="preserve">L060</t>
        </is>
      </c>
      <c r="B14" s="74" t="inlineStr">
        <is>
          <t xml:space="preserve">Aisyah Hamid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+60172702010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New Lead</t>
        </is>
      </c>
      <c r="K14" s="73" t="inlineStr">
        <is>
          <t xml:space="preserve">Hot 🔥</t>
        </is>
      </c>
      <c r="L14" s="74" t="inlineStr">
        <is>
          <t xml:space="preserve">Gombak</t>
        </is>
      </c>
      <c r="M14" s="73" t="inlineStr">
        <is>
          <t xml:space="preserve">6,000 /mo</t>
        </is>
      </c>
      <c r="N14" s="73"/>
      <c r="O14" s="73"/>
      <c r="P14" s="74" t="inlineStr">
        <is>
          <t xml:space="preserve">Shoplot</t>
        </is>
      </c>
      <c r="Q14" s="75" t="inlineStr">
        <is>
          <t xml:space="preserve">KLTS Gombak / Gombak Shoplot</t>
        </is>
      </c>
      <c r="R14" s="75" t="inlineStr">
        <is>
          <t xml:space="preserve">Ground Floor</t>
        </is>
      </c>
      <c r="S14" s="76" t="inlineStr">
        <is>
          <t xml:space="preserve">09/06/2026</t>
        </is>
      </c>
      <c r="T14" s="76" t="inlineStr">
        <is>
          <t xml:space="preserve">12/06/2026</t>
        </is>
      </c>
      <c r="U14" s="75" t="inlineStr">
        <is>
          <t xml:space="preserve">F&amp;B tenant — wants ground-floor shoplot, ~RM6,000/mo, Gombak (KLTS). Existing outlets: JNC Burger Bangi &amp; Bukit Jelutong. Target move-in Aug 2026.</t>
        </is>
      </c>
      <c r="V14" s="75" t="inlineStr">
        <is>
          <t xml:space="preserve">F&amp;B Tenant / Shoplot</t>
        </is>
      </c>
    </row>
    <row r="15" ht="22.5" customHeight="1">
      <c r="A15" s="73" t="inlineStr">
        <is>
          <t xml:space="preserve">L061</t>
        </is>
      </c>
      <c r="B15" s="74" t="inlineStr">
        <is>
          <t xml:space="preserve">Nas (Kenangan Coffee)</t>
        </is>
      </c>
      <c r="C15" s="74" t="inlineStr">
        <is>
          <t xml:space="preserve">Malaysian</t>
        </is>
      </c>
      <c r="D15" s="73" t="inlineStr">
        <is>
          <t xml:space="preserve">Malay, English</t>
        </is>
      </c>
      <c r="E15" s="74" t="inlineStr">
        <is>
          <t xml:space="preserve">+60194707037</t>
        </is>
      </c>
      <c r="F15" s="74"/>
      <c r="G15" s="74" t="inlineStr">
        <is>
          <t xml:space="preserve">WhatsApp</t>
        </is>
      </c>
      <c r="H15" s="74" t="inlineStr">
        <is>
          <t xml:space="preserve">iProperty — KLTS Gombak (Patrick Chow's unit)</t>
        </is>
      </c>
      <c r="I15" s="74" t="inlineStr">
        <is>
          <t xml:space="preserve">Tenant</t>
        </is>
      </c>
      <c r="J15" s="74" t="inlineStr">
        <is>
          <t xml:space="preserve">Details shared — pending HQ</t>
        </is>
      </c>
      <c r="K15" s="73" t="inlineStr">
        <is>
          <t xml:space="preserve">Hot 🔥</t>
        </is>
      </c>
      <c r="L15" s="74" t="inlineStr">
        <is>
          <t xml:space="preserve">KLTS Gombak</t>
        </is>
      </c>
      <c r="M15" s="73" t="inlineStr">
        <is>
          <t xml:space="preserve">9,000 /mo</t>
        </is>
      </c>
      <c r="N15" s="73"/>
      <c r="O15" s="73"/>
      <c r="P15" s="74" t="inlineStr">
        <is>
          <t xml:space="preserve">Commercial Shoplot</t>
        </is>
      </c>
      <c r="Q15" s="75" t="inlineStr">
        <is>
          <t xml:space="preserve">KLTS Gombak (Patrick Chow's unit)</t>
        </is>
      </c>
      <c r="R15" s="75"/>
      <c r="S15" s="76" t="inlineStr">
        <is>
          <t xml:space="preserve">09/06/2026</t>
        </is>
      </c>
      <c r="T15" s="76" t="inlineStr">
        <is>
          <t xml:space="preserve">10/06/2026</t>
        </is>
      </c>
      <c r="U15" s="75" t="inlineStr">
        <is>
          <t xml:space="preserve">Kenangan Coffee (F&amp;B). Tenant for Patrick Chow's KLTS Gombak shoplot @ RM9,000/mo. Shared all details 09/06; pending client to propose to HQ and revert.</t>
        </is>
      </c>
      <c r="V15" s="75" t="inlineStr">
        <is>
          <t xml:space="preserve">F&amp;B Tenant / Shoplot</t>
        </is>
      </c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s">
        <v>109</v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s">
        <v>368</v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10/06/2026</t>
        </is>
      </c>
      <c r="E5" s="11" t="s">
        <v>6</v>
      </c>
      <c r="F5" s="11" t="s">
        <v>32</v>
      </c>
      <c r="G5" s="11" t="inlineStr">
        <is>
          <t xml:space="preserve">Viewed — Interested</t>
        </is>
      </c>
      <c r="H5" s="12" t="inlineStr">
        <is>
          <t xml:space="preserve">Prefers bungalow LAND to build himself. 11/06 viewings (Thu): 4pm 119 Sunway Kiara Hills (RM4.5m); 4:30pm Hartamas Hts bungalow LAND 6,500sf RM6.18m (Caydence); 5pm Hartamas Hts bungalow L/A 9,795sf B/U 15,127sf 7+8 RM18m (Teoh); 5:30pm Hartamas Hts bungalow LAND 17,997sf RM11m (Kelvin Moh). Keen on Laman Setiakasih 8 (RM9.2m).</t>
        </is>
      </c>
      <c r="I5" s="12" t="inlineStr">
        <is>
          <t xml:space="preserve">Viewed The Residence MK, Setiamurni 1 &amp; Laman Setiakasih 8 on 09/06. Keen on Laman Setiakasih 8 (RM9.2m).</t>
        </is>
      </c>
      <c r="J5" s="11" t="inlineStr">
        <is>
          <t xml:space="preserve">Prep 11/06 3 viewings (Datuk now prefers LAND to build). Pursue Laman Setiakasih 8 offer. Source more bungalow land — Hartamas Heights / Country Heights Damansara.</t>
        </is>
      </c>
      <c r="K5" s="11" t="inlineStr">
        <is>
          <t xml:space="preserve">11/06 (Thu) 4pm 119 Sunway Kiara Hills; 4:30pm Hartamas Hts land 6,500sf RM6.18m; 5pm Hartamas Hts bungalow RM18m; 5:30pm Hartamas Hts land 17,997sf RM11m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Co-agents 11/06: Caydence +60102462822 (6,500sf land); Teoh (RM18m bungalow); Kelvin Moh +60195215527 (17,997sf land).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12/06/2026</t>
        </is>
      </c>
      <c r="E7" s="17" t="s">
        <v>6</v>
      </c>
      <c r="F7" s="17" t="s">
        <v>32</v>
      </c>
      <c r="G7" s="17" t="inlineStr">
        <is>
          <t xml:space="preserve">Viewed / Negotiating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7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7" s="35" t="inlineStr">
        <is>
          <t xml:space="preserve">07/06/2026 2:30pm (viewing done)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12/06/2026</t>
        </is>
      </c>
      <c r="E8" s="17" t="s">
        <v>6</v>
      </c>
      <c r="F8" s="17" t="s">
        <v>32</v>
      </c>
      <c r="G8" s="17" t="inlineStr">
        <is>
          <t xml:space="preserve">Viewed / Negotiating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8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8" s="35" t="inlineStr">
        <is>
          <t xml:space="preserve">07/06/2026 2:30pm (viewing done)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s">
        <v>596</v>
      </c>
      <c r="I10" s="18" t="inlineStr">
        <is>
          <t xml:space="preserve">KLTS Gombak vacancy marketed 09/06.</t>
        </is>
      </c>
      <c r="J10" s="17" t="inlineStr">
        <is>
          <t xml:space="preserve">Source tenant; match active leads (e.g. Aisyah — Gombak shoplot).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11/06/2026</t>
        </is>
      </c>
      <c r="E12" s="17" t="s">
        <v>6</v>
      </c>
      <c r="F12" s="17" t="s">
        <v>32</v>
      </c>
      <c r="G12" s="17" t="inlineStr">
        <is>
          <t xml:space="preserve">Awaiting offer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Followed up 08/06 — awaiting offer. Viewed AmanAra (Bandar Utama) 04/06 via JY Kam co-broke.</t>
        </is>
      </c>
      <c r="J12" s="17" t="inlineStr">
        <is>
          <t xml:space="preserve">Await offer from Brian; arrange 2nd viewing / negotiate via JY Kam if keen.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(tenant needed by 01/07). B-22-01 now let by another agent (Nick Lu), lease 15/06/2026. Lead match 09/06: 马太太 (sale, RM2.3m vs RM2m budget — stretch); no active tenant at RM9,500 yet. Yield ~5% — pitch investor buyers.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10/06/2026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Showing arranged — 10/06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Showing arranged 10/06 (Wed) 2pm — Korean tenant Ms Yoon via co-agent Kenie Yow. Master listing @ RM7,500/mo.</t>
        </is>
      </c>
      <c r="J17" s="17" t="inlineStr">
        <is>
          <t xml:space="preserve">Show Astrea MK 12-07 to Ms Yoon 10/06 2pm; close tenancy.</t>
        </is>
      </c>
      <c r="K17" s="17" t="inlineStr">
        <is>
          <t xml:space="preserve">10/06/2026 (Wed) 2pm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10/06/2026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Pending HQ approval</t>
        </is>
      </c>
      <c r="H19" s="18" t="inlineStr">
        <is>
          <t xml:space="preserve">KLTS Gombak shoplot (Patrick Chow's unit) — RM9,000/mo</t>
        </is>
      </c>
      <c r="I19" s="18" t="inlineStr">
        <is>
          <t xml:space="preserve">Shared all details 09/06; pending client to propose to HQ and revert.</t>
        </is>
      </c>
      <c r="J19" s="17" t="inlineStr">
        <is>
          <t xml:space="preserve">Follow up on HQ decision</t>
        </is>
      </c>
      <c r="K19" s="17" t="inlineStr">
        <is>
          <t xml:space="preserve">10/06/2026 2pm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s">
        <v>629</v>
      </c>
      <c r="E4" s="11" t="s">
        <v>630</v>
      </c>
      <c r="F4" s="11" t="s">
        <v>631</v>
      </c>
      <c r="G4" s="11" t="inlineStr">
        <is>
          <t xml:space="preserve">Viewed — Interested (negotiating)</t>
        </is>
      </c>
      <c r="H4" s="36">
        <v>9200000</v>
      </c>
      <c r="I4" s="37">
        <v>0.02</v>
      </c>
      <c r="J4" s="38">
        <f t="shared" ref="J4:J8" si="1">H4*I4</f>
        <v>184000</v>
      </c>
      <c r="K4" s="11"/>
      <c r="L4" s="11"/>
      <c r="M4" s="11"/>
      <c r="N4" s="11"/>
      <c r="O4" s="12" t="inlineStr">
        <is>
          <t xml:space="preserve">Viewed 09/06 — INTERESTED in 9 Jln Laman Setiakasih 8 (6,600sf, 4+1). Asking RM9.2m. Negotiate / place offer. Local Chinese loan buyer.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 ht="32.25" customHeight="1">
      <c r="A9" s="8" t="inlineStr">
        <is>
          <t xml:space="preserve">D006</t>
        </is>
      </c>
      <c r="B9" s="9" t="inlineStr">
        <is>
          <t xml:space="preserve">Brian Cheah Jun Yu</t>
        </is>
      </c>
      <c r="C9" s="8" t="inlineStr">
        <is>
          <t xml:space="preserve">Malaysia</t>
        </is>
      </c>
      <c r="D9" s="9" t="inlineStr">
        <is>
          <t xml:space="preserve">AmanAra Residence, Bandar Utama</t>
        </is>
      </c>
      <c r="E9" s="8" t="inlineStr">
        <is>
          <t xml:space="preserve">Bandar Utama</t>
        </is>
      </c>
      <c r="F9" s="8" t="inlineStr">
        <is>
          <t xml:space="preserve">Rental</t>
        </is>
      </c>
      <c r="G9" s="8" t="inlineStr">
        <is>
          <t xml:space="preserve">Viewing Done — Awaiting Decision</t>
        </is>
      </c>
      <c r="H9" s="50">
        <v>6500</v>
      </c>
      <c r="I9" s="51"/>
      <c r="J9" s="52">
        <v>6500</v>
      </c>
      <c r="K9" s="8"/>
      <c r="L9" s="8"/>
      <c r="M9" s="8"/>
      <c r="N9" s="8"/>
      <c r="O9" s="9" t="inlineStr">
        <is>
          <t xml:space="preserve">Viewed AmanAra 04/06 via JY Kam co-broke. Awaiting decision. Rent RM5.5k PF / ~RM6.5k FF (confirm). Comm = 1 mth rent.</t>
        </is>
      </c>
    </row>
    <row r="10" ht="32.25" customHeight="1">
      <c r="A10" s="8" t="inlineStr">
        <is>
          <t xml:space="preserve">D007</t>
        </is>
      </c>
      <c r="B10" s="9" t="inlineStr">
        <is>
          <t xml:space="preserve">Aisyah Hamid</t>
        </is>
      </c>
      <c r="C10" s="8" t="inlineStr">
        <is>
          <t xml:space="preserve">Malaysia</t>
        </is>
      </c>
      <c r="D10" s="9" t="inlineStr">
        <is>
          <t xml:space="preserve">Gombak Shoplot (KLTS Gombak)</t>
        </is>
      </c>
      <c r="E10" s="8" t="inlineStr">
        <is>
          <t xml:space="preserve">Gombak</t>
        </is>
      </c>
      <c r="F10" s="8" t="inlineStr">
        <is>
          <t xml:space="preserve">Rental</t>
        </is>
      </c>
      <c r="G10" s="8" t="inlineStr">
        <is>
          <t xml:space="preserve">Qualifying / Sourcing</t>
        </is>
      </c>
      <c r="H10" s="50">
        <v>6000</v>
      </c>
      <c r="I10" s="51"/>
      <c r="J10" s="52">
        <v>6000</v>
      </c>
      <c r="K10" s="8"/>
      <c r="L10" s="8"/>
      <c r="M10" s="8"/>
      <c r="N10" s="8"/>
      <c r="O10" s="9" t="inlineStr">
        <is>
          <t xml:space="preserve">F&amp;B tenant (JNC Burger). Ground-floor Gombak shoplot ~RM6k/mo. Target move-in Aug 2026. Comm = 1 mth rent.</t>
        </is>
      </c>
    </row>
    <row r="11" ht="32.25" customHeight="1">
      <c r="A11" s="8" t="inlineStr">
        <is>
          <t xml:space="preserve">D008</t>
        </is>
      </c>
      <c r="B11" s="9" t="inlineStr">
        <is>
          <t xml:space="preserve">Nas (Kenangan Coffee)</t>
        </is>
      </c>
      <c r="C11" s="8" t="inlineStr">
        <is>
          <t xml:space="preserve">Malaysia</t>
        </is>
      </c>
      <c r="D11" s="9" t="inlineStr">
        <is>
          <t xml:space="preserve">KLTS Gombak shoplot (Patrick Chow's unit)</t>
        </is>
      </c>
      <c r="E11" s="8" t="inlineStr">
        <is>
          <t xml:space="preserve">Gombak</t>
        </is>
      </c>
      <c r="F11" s="8" t="inlineStr">
        <is>
          <t xml:space="preserve">Rental</t>
        </is>
      </c>
      <c r="G11" s="8" t="inlineStr">
        <is>
          <t xml:space="preserve">Pending HQ approval</t>
        </is>
      </c>
      <c r="H11" s="50">
        <v>9000</v>
      </c>
      <c r="I11" s="51"/>
      <c r="J11" s="52">
        <v>9000</v>
      </c>
      <c r="K11" s="8"/>
      <c r="L11" s="8"/>
      <c r="M11" s="8"/>
      <c r="N11" s="8"/>
      <c r="O11" s="9" t="inlineStr">
        <is>
          <t xml:space="preserve">F&amp;B (Kenangan Coffee) for Patrick Chow's KLTS Gombak unit. Details shared 09/06; pending HQ. Follow up 10/06 2pm. Comm = 1 mth rent.</t>
        </is>
      </c>
    </row>
    <row r="12">
      <c r="A12" s="53" t="inlineStr">
        <is>
          <t xml:space="preserve">TOTAL ESTIMATED COMMISSION (if all close)</t>
        </is>
      </c>
      <c r="B12" s="54"/>
      <c r="C12" s="54"/>
      <c r="D12" s="54"/>
      <c r="E12" s="54"/>
      <c r="F12" s="54"/>
      <c r="G12" s="54"/>
      <c r="H12" s="54"/>
      <c r="I12" s="55"/>
      <c r="J12" s="56">
        <f>SUM(J4:J11)</f>
        <v>421500</v>
      </c>
      <c r="K12" s="57"/>
      <c r="L12" s="57"/>
      <c r="M12" s="57"/>
      <c r="N12" s="57"/>
      <c r="O12" s="57"/>
    </row>
    <row r="13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2:I12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61</t>
        </is>
      </c>
      <c r="B5" s="55"/>
      <c r="C5" s="25"/>
      <c r="D5" s="61" t="inlineStr">
        <is>
          <t>12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20.0mil</t>
        </is>
      </c>
      <c r="E9" s="55"/>
      <c r="F9" s="25"/>
      <c r="G9" s="61" t="inlineStr">
        <is>
          <t xml:space="preserve">RM 421.5k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8 active deals · 5 sale + 3 rent</t>
        </is>
      </c>
      <c r="E10" s="55"/>
      <c r="F10" s="25"/>
      <c r="G10" s="62" t="inlineStr">
        <is>
          <t xml:space="preserve">if all 8 close (incl 3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🔥 Close NOW — Datuk Francis keen on RM9.2m DH bungalow (= RM184k comm). 5 sale deals ~RM400k total. Daily focus.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