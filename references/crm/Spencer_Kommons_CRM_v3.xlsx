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🔥 Active Leads" sheetId="1" r:id="rId4"/>
    <sheet state="visible" name="✅ Done Deals" sheetId="2" r:id="rId5"/>
    <sheet state="visible" name="📅 Follow-Up Schedule" sheetId="3" r:id="rId6"/>
    <sheet state="visible" name="💰 Pipeline &amp; Deals" sheetId="4" r:id="rId7"/>
    <sheet state="visible" name="📊 Dashboard" sheetId="5" r:id="rId8"/>
  </sheets>
  <definedNames/>
  <calcPr/>
  <extLst>
    <ext uri="GoogleSheetsCustomDataVersion2">
      <go:sheetsCustomData xmlns:go="http://customooxmlschemas.google.com/" r:id="rId9" roundtripDataChecksum="d0KdK9/4uYFhCT/0Zdt0ix2GkhmetU414D2+yCfkPh8="/>
    </ext>
  </extLst>
</workbook>
</file>

<file path=xl/sharedStrings.xml><?xml version="1.0" encoding="utf-8"?>
<sst xmlns="http://schemas.openxmlformats.org/spreadsheetml/2006/main" count="1559" uniqueCount="720">
  <si>
    <t>🔥  ACTIVE LEADS  |  Spencer — Kommons Realty Sdn Bhd</t>
  </si>
  <si>
    <t>Mont Kiara  •  KLCC  •  Desa Park City  |  Active prospects — prioritise daily  |  Updated: 04 June 2026</t>
  </si>
  <si>
    <t>ID</t>
  </si>
  <si>
    <t>Name</t>
  </si>
  <si>
    <t>Nationality</t>
  </si>
  <si>
    <t>Language</t>
  </si>
  <si>
    <t>WhatsApp</t>
  </si>
  <si>
    <t>WeChat ID</t>
  </si>
  <si>
    <t>Contact Source</t>
  </si>
  <si>
    <t>Platform / Referral</t>
  </si>
  <si>
    <t>Lead Type</t>
  </si>
  <si>
    <t>Status</t>
  </si>
  <si>
    <t>Priority</t>
  </si>
  <si>
    <t>Area</t>
  </si>
  <si>
    <t>Budget (RM)</t>
  </si>
  <si>
    <t>Size</t>
  </si>
  <si>
    <t>Beds</t>
  </si>
  <si>
    <t>Property Type</t>
  </si>
  <si>
    <t>Property Name</t>
  </si>
  <si>
    <t>Unit No.</t>
  </si>
  <si>
    <t>Last Contact</t>
  </si>
  <si>
    <t>Next Follow-Up</t>
  </si>
  <si>
    <t>Notes</t>
  </si>
  <si>
    <t>Tags</t>
  </si>
  <si>
    <t>L005</t>
  </si>
  <si>
    <t>Patrick Chow</t>
  </si>
  <si>
    <t>Malaysia</t>
  </si>
  <si>
    <t>Mandarin</t>
  </si>
  <si>
    <t>+60123991662</t>
  </si>
  <si>
    <t>Co-Agent</t>
  </si>
  <si>
    <t>Owner</t>
  </si>
  <si>
    <t>Vacant</t>
  </si>
  <si>
    <t>Hot 🔥</t>
  </si>
  <si>
    <t>Gombak</t>
  </si>
  <si>
    <t>Commercial Shoplot</t>
  </si>
  <si>
    <t>KLTS Gombak</t>
  </si>
  <si>
    <t>51-G</t>
  </si>
  <si>
    <t>30/05/2026</t>
  </si>
  <si>
    <t>Rented to Dr Lee (Cotti Coffee), tenant breached contract, need to find new tenant.</t>
  </si>
  <si>
    <t>L034</t>
  </si>
  <si>
    <t>Datuk Francis</t>
  </si>
  <si>
    <t>+60163286188</t>
  </si>
  <si>
    <t>iProperty</t>
  </si>
  <si>
    <t>Purchaser</t>
  </si>
  <si>
    <t>Arranged Appointment</t>
  </si>
  <si>
    <t>Mont Kiara, Damansara Heights</t>
  </si>
  <si>
    <t>Bungalow</t>
  </si>
  <si>
    <t>Local Chinese Loan Buyer</t>
  </si>
  <si>
    <t>L035</t>
  </si>
  <si>
    <t>Ingo</t>
  </si>
  <si>
    <t>Germany</t>
  </si>
  <si>
    <t>English</t>
  </si>
  <si>
    <t>+491732556335</t>
  </si>
  <si>
    <t>Andreas Referral (L001)</t>
  </si>
  <si>
    <t>Tenant &amp; Purchaser</t>
  </si>
  <si>
    <t>Rented, Viewed for purchase</t>
  </si>
  <si>
    <t>Mont Kiara</t>
  </si>
  <si>
    <t>3</t>
  </si>
  <si>
    <t>Condominium</t>
  </si>
  <si>
    <t>Hijauan Kiara, MK Damai</t>
  </si>
  <si>
    <t>Rented 2, Kiara View</t>
  </si>
  <si>
    <t>03/06/2026</t>
  </si>
  <si>
    <t>06/06/2026</t>
  </si>
  <si>
    <t>Want to purchase for own stay, then rent out in future.</t>
  </si>
  <si>
    <t>German Cash Purchaser</t>
  </si>
  <si>
    <t>L036</t>
  </si>
  <si>
    <t>Ms Thao (Ingo's Wife)</t>
  </si>
  <si>
    <t>Vietnam</t>
  </si>
  <si>
    <t>+6281313032950</t>
  </si>
  <si>
    <t>L055</t>
  </si>
  <si>
    <t>Adrita</t>
  </si>
  <si>
    <t>Bangladesh</t>
  </si>
  <si>
    <t>+8801729072725</t>
  </si>
  <si>
    <t>Tenant</t>
  </si>
  <si>
    <t>Sourcing</t>
  </si>
  <si>
    <t>Warm 🌤️</t>
  </si>
  <si>
    <t>Looking for 1,800 sq ft</t>
  </si>
  <si>
    <t>Bangladesh purchaser in future</t>
  </si>
  <si>
    <t>L056</t>
  </si>
  <si>
    <t>马太太</t>
  </si>
  <si>
    <t>China, Shandong</t>
  </si>
  <si>
    <t>ouyangvip1977</t>
  </si>
  <si>
    <t>WeChat</t>
  </si>
  <si>
    <t>WeChat's Channel</t>
  </si>
  <si>
    <t>Mont Kiara / Ampang</t>
  </si>
  <si>
    <t>Looking for 1,500–1,800 sq ft</t>
  </si>
  <si>
    <t>China Cash Purchaser</t>
  </si>
  <si>
    <t>L057</t>
  </si>
  <si>
    <t>周先生</t>
  </si>
  <si>
    <t>China, Beijing</t>
  </si>
  <si>
    <t>zwm523072765</t>
  </si>
  <si>
    <t>Lucas Chiew CSX Referral</t>
  </si>
  <si>
    <t>Viewed for purchase</t>
  </si>
  <si>
    <t>04/06/2026</t>
  </si>
  <si>
    <t>Viewed B-6-1 Kiaraville 1909 sq ft, quite interested at RM1.55mil. Looking for big size, older condos fine.</t>
  </si>
  <si>
    <t>L058</t>
  </si>
  <si>
    <t>Umesh Phadke</t>
  </si>
  <si>
    <t>Indian</t>
  </si>
  <si>
    <t>+60127695596</t>
  </si>
  <si>
    <t>Caryn Referral</t>
  </si>
  <si>
    <t>Viewed AB-39-10 MK 10</t>
  </si>
  <si>
    <t>MK 10</t>
  </si>
  <si>
    <t>AB-39-02</t>
  </si>
  <si>
    <t>Placed Offer AB-39-02 MK 10 at RM 4.2mil but owner rejected, looking to sell at RM 4.5mil and above</t>
  </si>
  <si>
    <t>Indian Purchaser</t>
  </si>
  <si>
    <t>L039</t>
  </si>
  <si>
    <t>Brian Cheah Jun Yu</t>
  </si>
  <si>
    <t>+60125155163</t>
  </si>
  <si>
    <t>Adrian-KL Referral</t>
  </si>
  <si>
    <t>Rented</t>
  </si>
  <si>
    <t>Kota Damansara</t>
  </si>
  <si>
    <t>10,000</t>
  </si>
  <si>
    <t>Landed</t>
  </si>
  <si>
    <t>AmanAra Bandar Utama</t>
  </si>
  <si>
    <t>B-3A &amp; B-3</t>
  </si>
  <si>
    <t>AmanAra asking RM 5.5k PF</t>
  </si>
  <si>
    <t>Local Chinese Tenant</t>
  </si>
  <si>
    <t>✅  DONE DEALS &amp; RELATIONSHIP BANK  |  Spencer — Kommons Realty</t>
  </si>
  <si>
    <t>Closed transactions · Past tenants · Referral sources — nurture for repeat &amp; referrals</t>
  </si>
  <si>
    <t>Budget/Rent (RM)</t>
  </si>
  <si>
    <t>Lease Start</t>
  </si>
  <si>
    <t>Lease End</t>
  </si>
  <si>
    <t>Referral Potential</t>
  </si>
  <si>
    <t>L001</t>
  </si>
  <si>
    <t>Andreas</t>
  </si>
  <si>
    <t>+60124953317</t>
  </si>
  <si>
    <t>Freeman Referral</t>
  </si>
  <si>
    <t>Mont Kiara, Sri Hartamas</t>
  </si>
  <si>
    <t>10,400</t>
  </si>
  <si>
    <t>4</t>
  </si>
  <si>
    <t>Semi-Detached</t>
  </si>
  <si>
    <t>Duta Nusantara</t>
  </si>
  <si>
    <t>72</t>
  </si>
  <si>
    <t>01/08/2024</t>
  </si>
  <si>
    <t>31/07/2026</t>
  </si>
  <si>
    <t>Rented another unit at RM 11,500 with another agent, 01/08/2026 - 31/07/2028</t>
  </si>
  <si>
    <t>→ Ingo(L035)</t>
  </si>
  <si>
    <t>L002</t>
  </si>
  <si>
    <t>Dr Lee</t>
  </si>
  <si>
    <t>+601126743491</t>
  </si>
  <si>
    <t>Sunway &amp; Klang Valley</t>
  </si>
  <si>
    <t>3,600</t>
  </si>
  <si>
    <t>Sunway Palmville</t>
  </si>
  <si>
    <t>B-9-4</t>
  </si>
  <si>
    <t>01/11/2025</t>
  </si>
  <si>
    <t>31/10/2026</t>
  </si>
  <si>
    <t>17/02/2026</t>
  </si>
  <si>
    <t>01/08/2026</t>
  </si>
  <si>
    <t>Rented 3 Condominiums + 3 Commercial Shoplots (Cotti Coffee, Wallace Burger, Chicken). Follow up Tenancy Renewal</t>
  </si>
  <si>
    <t>→ 朱总(L010),梁珍(L043/44)</t>
  </si>
  <si>
    <t>L003</t>
  </si>
  <si>
    <t>Ms Millie &amp; Eric Poh</t>
  </si>
  <si>
    <t>+60122037208</t>
  </si>
  <si>
    <t>Master Listing</t>
  </si>
  <si>
    <t>5,300</t>
  </si>
  <si>
    <t>Astrea Mont Kiara</t>
  </si>
  <si>
    <t>32-06</t>
  </si>
  <si>
    <t>01/03/2026</t>
  </si>
  <si>
    <t>28/02/2027</t>
  </si>
  <si>
    <t>01/04/2026</t>
  </si>
  <si>
    <t>01/12/2026</t>
  </si>
  <si>
    <t>Rented by another agent (Jason). Follow up on unit availability.</t>
  </si>
  <si>
    <t>L004</t>
  </si>
  <si>
    <t>Andy</t>
  </si>
  <si>
    <t>United Kingdom</t>
  </si>
  <si>
    <t>+60132310393</t>
  </si>
  <si>
    <t>Gwen Chan Referral</t>
  </si>
  <si>
    <t>3,800</t>
  </si>
  <si>
    <t>2</t>
  </si>
  <si>
    <t>Agile Mont Kiara</t>
  </si>
  <si>
    <t>K-22-03</t>
  </si>
  <si>
    <t>31/07/2025</t>
  </si>
  <si>
    <t>25/02/2026</t>
  </si>
  <si>
    <t>Moved back to United Kingdom already.</t>
  </si>
  <si>
    <t>L006</t>
  </si>
  <si>
    <t>Stephanie Gan</t>
  </si>
  <si>
    <t>+60166678672</t>
  </si>
  <si>
    <t>Purchased</t>
  </si>
  <si>
    <t>Cold ❄️</t>
  </si>
  <si>
    <t>Kelana Jaya</t>
  </si>
  <si>
    <t>370,000</t>
  </si>
  <si>
    <t>Serviced Residences</t>
  </si>
  <si>
    <t>Kelana Damansara Suite</t>
  </si>
  <si>
    <t>A-26-02</t>
  </si>
  <si>
    <t>29/11/2025</t>
  </si>
  <si>
    <t>L007</t>
  </si>
  <si>
    <t>Laura</t>
  </si>
  <si>
    <t>Spain</t>
  </si>
  <si>
    <t>+34691801101</t>
  </si>
  <si>
    <t>Dani (Basketball) Referral</t>
  </si>
  <si>
    <t>Rented - Renewed Tenancy</t>
  </si>
  <si>
    <t>KL Eco City</t>
  </si>
  <si>
    <t>3,200</t>
  </si>
  <si>
    <t>Residensi Vogue 1</t>
  </si>
  <si>
    <t>B-23-03</t>
  </si>
  <si>
    <t>05/11/2025</t>
  </si>
  <si>
    <t>01/09/2026</t>
  </si>
  <si>
    <t>Follow up on Tenancy Renewal</t>
  </si>
  <si>
    <t>L008</t>
  </si>
  <si>
    <t>Fanessa Fianda</t>
  </si>
  <si>
    <t>Indonesia</t>
  </si>
  <si>
    <t>+60122407118</t>
  </si>
  <si>
    <t>5,200</t>
  </si>
  <si>
    <t>09-3A</t>
  </si>
  <si>
    <t>02/03/2026</t>
  </si>
  <si>
    <t>01/03/2027</t>
  </si>
  <si>
    <t>L009</t>
  </si>
  <si>
    <t>Kumaran Chinan</t>
  </si>
  <si>
    <t>+60122188681</t>
  </si>
  <si>
    <t>05/06/2026</t>
  </si>
  <si>
    <t>Settling sewerage smell in master bedroom 04/06/2026</t>
  </si>
  <si>
    <t>L010</t>
  </si>
  <si>
    <t>朱总</t>
  </si>
  <si>
    <t>China, Fujian</t>
  </si>
  <si>
    <t>chinaruyi</t>
  </si>
  <si>
    <t>Dr Lee Referral (L002)</t>
  </si>
  <si>
    <t>KLCC</t>
  </si>
  <si>
    <t>3,800,000</t>
  </si>
  <si>
    <t>Cendana KLCC</t>
  </si>
  <si>
    <t>38-02</t>
  </si>
  <si>
    <t>25/09/2026</t>
  </si>
  <si>
    <t>Send greetings in Mid Autumn Festival</t>
  </si>
  <si>
    <t>China cash purchaser</t>
  </si>
  <si>
    <t>L011</t>
  </si>
  <si>
    <t>Ice 支支 (朱总's PA)</t>
  </si>
  <si>
    <t>China, Shanghai</t>
  </si>
  <si>
    <t>IceZhi7688</t>
  </si>
  <si>
    <t>L012</t>
  </si>
  <si>
    <t>Fu, Rong</t>
  </si>
  <si>
    <t>China</t>
  </si>
  <si>
    <t>Frlfh-hhjj</t>
  </si>
  <si>
    <t>Meet Up</t>
  </si>
  <si>
    <t>2,000</t>
  </si>
  <si>
    <t>Cova Suites</t>
  </si>
  <si>
    <t>A-23-07</t>
  </si>
  <si>
    <t>21/08/2025</t>
  </si>
  <si>
    <t>31/12/2026</t>
  </si>
  <si>
    <t>L013</t>
  </si>
  <si>
    <t>Liong Kok Kit</t>
  </si>
  <si>
    <t>+60166613011</t>
  </si>
  <si>
    <t>Sold</t>
  </si>
  <si>
    <t>1,220,000</t>
  </si>
  <si>
    <t>21-06</t>
  </si>
  <si>
    <t>29/01/2025</t>
  </si>
  <si>
    <t>L014</t>
  </si>
  <si>
    <t>Mohanambal A/P Krishnan</t>
  </si>
  <si>
    <t>+60122622457</t>
  </si>
  <si>
    <t>Company's Lead</t>
  </si>
  <si>
    <t>KL Sentral</t>
  </si>
  <si>
    <t>3,100</t>
  </si>
  <si>
    <t>Sentral Suites Residences</t>
  </si>
  <si>
    <t>2-11-05</t>
  </si>
  <si>
    <t>15/12/2025</t>
  </si>
  <si>
    <t>14/12/2026</t>
  </si>
  <si>
    <t>18/10/2025</t>
  </si>
  <si>
    <t>08/09/2026</t>
  </si>
  <si>
    <t>Send greetings in Deepavali Festival</t>
  </si>
  <si>
    <t>L015</t>
  </si>
  <si>
    <t>张飞飞</t>
  </si>
  <si>
    <t>+60145864976</t>
  </si>
  <si>
    <t>Phil_loves_art</t>
  </si>
  <si>
    <t>3,400</t>
  </si>
  <si>
    <t>Verve Suites</t>
  </si>
  <si>
    <t>C-19-07</t>
  </si>
  <si>
    <t>31/01/2025</t>
  </si>
  <si>
    <t>02/06/2026</t>
  </si>
  <si>
    <t>L016</t>
  </si>
  <si>
    <t>Christine Lim</t>
  </si>
  <si>
    <t>+60122039197</t>
  </si>
  <si>
    <t>6,500</t>
  </si>
  <si>
    <t>26-01</t>
  </si>
  <si>
    <t>31/03/2027</t>
  </si>
  <si>
    <t>09/05/2026</t>
  </si>
  <si>
    <t>L017</t>
  </si>
  <si>
    <t>Marcus</t>
  </si>
  <si>
    <t>+4915158816628</t>
  </si>
  <si>
    <t>Vincy CSX Referral</t>
  </si>
  <si>
    <t>9,000</t>
  </si>
  <si>
    <t>MK 11</t>
  </si>
  <si>
    <t>B-11-01</t>
  </si>
  <si>
    <t>22/01/2025</t>
  </si>
  <si>
    <t>22/02/2027</t>
  </si>
  <si>
    <t>28/03/2026</t>
  </si>
  <si>
    <t>L018</t>
  </si>
  <si>
    <t>Nicola</t>
  </si>
  <si>
    <t>+491734085957</t>
  </si>
  <si>
    <t>L019</t>
  </si>
  <si>
    <t>Yuvaraj A/L Suresh</t>
  </si>
  <si>
    <t>+4917677663970</t>
  </si>
  <si>
    <t>Selayang</t>
  </si>
  <si>
    <t>3-Storey Terrace</t>
  </si>
  <si>
    <t>Hijauan Selayang</t>
  </si>
  <si>
    <t>23, Jalan HS 4</t>
  </si>
  <si>
    <t>20/02/2025</t>
  </si>
  <si>
    <t>19/02/2027</t>
  </si>
  <si>
    <t>02/04/2026</t>
  </si>
  <si>
    <t>L020</t>
  </si>
  <si>
    <t>Joanne Yap</t>
  </si>
  <si>
    <t>+60122489296</t>
  </si>
  <si>
    <t>3,300</t>
  </si>
  <si>
    <t>Solaris Dutamas (Publika)</t>
  </si>
  <si>
    <t>B1-08-07</t>
  </si>
  <si>
    <t>05/01/2025</t>
  </si>
  <si>
    <t>04/01/2026</t>
  </si>
  <si>
    <t>18/05/2026</t>
  </si>
  <si>
    <t>→ Kim,Anthony,Jaclyn,Masami</t>
  </si>
  <si>
    <t>Moved back to Port Dickson</t>
  </si>
  <si>
    <t>L021</t>
  </si>
  <si>
    <t>Kim Sujin</t>
  </si>
  <si>
    <t>Korea</t>
  </si>
  <si>
    <t>+60143678187</t>
  </si>
  <si>
    <t>Joanne Yap Referral (L020)</t>
  </si>
  <si>
    <t>6,000</t>
  </si>
  <si>
    <t>Trinity Pentamont</t>
  </si>
  <si>
    <t>13-08</t>
  </si>
  <si>
    <t>05/02/2026</t>
  </si>
  <si>
    <t>04/02/2027</t>
  </si>
  <si>
    <t>08/05/2026</t>
  </si>
  <si>
    <t>L022</t>
  </si>
  <si>
    <t>Anthony (Sujin's Husband)</t>
  </si>
  <si>
    <t>France</t>
  </si>
  <si>
    <t>+85255182373</t>
  </si>
  <si>
    <t>L023</t>
  </si>
  <si>
    <t>Jaclyn Yong</t>
  </si>
  <si>
    <t>+66903083698</t>
  </si>
  <si>
    <t>Rented &amp; Purchased</t>
  </si>
  <si>
    <t>4,050,000</t>
  </si>
  <si>
    <t>C-31-01</t>
  </si>
  <si>
    <t>L024</t>
  </si>
  <si>
    <t>Juergen (Jaclyn's Husband)</t>
  </si>
  <si>
    <t>+66863861896</t>
  </si>
  <si>
    <t>L025</t>
  </si>
  <si>
    <t>王哥</t>
  </si>
  <si>
    <t>beyondhere1</t>
  </si>
  <si>
    <t>1,350,000</t>
  </si>
  <si>
    <t>Kiaraville</t>
  </si>
  <si>
    <t>B-16-03</t>
  </si>
  <si>
    <t>→ 迈姐(L026),张猛(L027)</t>
  </si>
  <si>
    <t>L026</t>
  </si>
  <si>
    <t>迈姐</t>
  </si>
  <si>
    <t>xiaomai112love</t>
  </si>
  <si>
    <t>王哥 Referral (L025)</t>
  </si>
  <si>
    <t>2,400</t>
  </si>
  <si>
    <t>Casa Indah 1</t>
  </si>
  <si>
    <t>A-17-11</t>
  </si>
  <si>
    <t>13/04/2026</t>
  </si>
  <si>
    <t>12/04/2027</t>
  </si>
  <si>
    <t>03/04/2026</t>
  </si>
  <si>
    <t>01/02/2027</t>
  </si>
  <si>
    <t>Follow Up Tenancy</t>
  </si>
  <si>
    <t>L027</t>
  </si>
  <si>
    <t>张猛</t>
  </si>
  <si>
    <t>+601161739769</t>
  </si>
  <si>
    <t>zhangxiangxin1986</t>
  </si>
  <si>
    <t>2,900</t>
  </si>
  <si>
    <t>D-1-3A</t>
  </si>
  <si>
    <t>01/05/2026</t>
  </si>
  <si>
    <t>30/04/2027</t>
  </si>
  <si>
    <t>L028</t>
  </si>
  <si>
    <t>Masami</t>
  </si>
  <si>
    <t>Japan</t>
  </si>
  <si>
    <t>+601116664512</t>
  </si>
  <si>
    <t>3,000</t>
  </si>
  <si>
    <t>1</t>
  </si>
  <si>
    <t>Met 1 Residences</t>
  </si>
  <si>
    <t>C-39-05</t>
  </si>
  <si>
    <t>24/05/2025</t>
  </si>
  <si>
    <t>23/05/2026</t>
  </si>
  <si>
    <t>Follow up with Pei Wen for deposit refund</t>
  </si>
  <si>
    <t>L029</t>
  </si>
  <si>
    <t>Ken</t>
  </si>
  <si>
    <t>Singapore</t>
  </si>
  <si>
    <t>+6586866075</t>
  </si>
  <si>
    <t>Damansara Perdana</t>
  </si>
  <si>
    <t>5,500</t>
  </si>
  <si>
    <t>Armanee Terrace</t>
  </si>
  <si>
    <t>B-16-A03</t>
  </si>
  <si>
    <t>L030</t>
  </si>
  <si>
    <t>Soo Hong Ket</t>
  </si>
  <si>
    <t>+60162125513</t>
  </si>
  <si>
    <t>Own Network</t>
  </si>
  <si>
    <t>Investor</t>
  </si>
  <si>
    <t>480,000</t>
  </si>
  <si>
    <t>B-13A-06</t>
  </si>
  <si>
    <t>22/05/2026</t>
  </si>
  <si>
    <t>L031</t>
  </si>
  <si>
    <t>Zoey Lim</t>
  </si>
  <si>
    <t>+601121498686</t>
  </si>
  <si>
    <t>30-06</t>
  </si>
  <si>
    <t>01/05/2025</t>
  </si>
  <si>
    <t>30/06/2026</t>
  </si>
  <si>
    <t>01/06/2026</t>
  </si>
  <si>
    <t>15/05/2026</t>
  </si>
  <si>
    <t>Current tenant allow viewing 15/06/2026 onwards.</t>
  </si>
  <si>
    <t>L032</t>
  </si>
  <si>
    <t>Sharavana Kumar</t>
  </si>
  <si>
    <t>+60125151026</t>
  </si>
  <si>
    <t>Allevia Mont Kiara</t>
  </si>
  <si>
    <t>B-22-01</t>
  </si>
  <si>
    <t>01/07/2026</t>
  </si>
  <si>
    <t>30/06/2027</t>
  </si>
  <si>
    <t>01/04/2027</t>
  </si>
  <si>
    <t>Rented by another agent (Nick Lu). Follow up 01/04/2027. B-29-01 available 01/07/2026</t>
  </si>
  <si>
    <t>B-29-01 available 01/07/2026</t>
  </si>
  <si>
    <t>L033</t>
  </si>
  <si>
    <t>Nate Kyaw</t>
  </si>
  <si>
    <t>Myanmar</t>
  </si>
  <si>
    <t>+60166666237</t>
  </si>
  <si>
    <t>PropertyGuru</t>
  </si>
  <si>
    <t>Moved Out</t>
  </si>
  <si>
    <t>7,000</t>
  </si>
  <si>
    <t>22/07/2025</t>
  </si>
  <si>
    <t>Moved back to Myanmar.</t>
  </si>
  <si>
    <t>L037</t>
  </si>
  <si>
    <t>Shahida Binti AB Jalil</t>
  </si>
  <si>
    <t>+60174414014</t>
  </si>
  <si>
    <t>8,000</t>
  </si>
  <si>
    <t>B-35-01</t>
  </si>
  <si>
    <t>01/09/2025</t>
  </si>
  <si>
    <t>31/08/2027</t>
  </si>
  <si>
    <t>01/06/2027</t>
  </si>
  <si>
    <t>Follow up Tenancy Renewal</t>
  </si>
  <si>
    <t>L038</t>
  </si>
  <si>
    <t>Kai</t>
  </si>
  <si>
    <t>+60192130029</t>
  </si>
  <si>
    <t>1,000,000</t>
  </si>
  <si>
    <t>Landed, Corner Lot</t>
  </si>
  <si>
    <t>Rented Office 10-02 Dataran Sunway (RM 4,000)</t>
  </si>
  <si>
    <t>31/10/2027</t>
  </si>
  <si>
    <t>01/08/2027</t>
  </si>
  <si>
    <t>Rented B1-19-3A Lumi Tropicana (RM 3,400)</t>
  </si>
  <si>
    <t>22/08/2025</t>
  </si>
  <si>
    <t>21/08/2026</t>
  </si>
  <si>
    <t>Search for suitable rental units</t>
  </si>
  <si>
    <t>Local Chinese Purchaser for Own Stay</t>
  </si>
  <si>
    <t>L040</t>
  </si>
  <si>
    <t>JiaWen</t>
  </si>
  <si>
    <t>+601131615700</t>
  </si>
  <si>
    <t>680,000</t>
  </si>
  <si>
    <t>Vortex KLCC</t>
  </si>
  <si>
    <t>32-3A</t>
  </si>
  <si>
    <t>L041</t>
  </si>
  <si>
    <t>Lee Jun Sheng</t>
  </si>
  <si>
    <t>+601114494712</t>
  </si>
  <si>
    <t>North Kiara</t>
  </si>
  <si>
    <t>1,600</t>
  </si>
  <si>
    <t>Suria @ North Kiara</t>
  </si>
  <si>
    <t>3-13A</t>
  </si>
  <si>
    <t>24/05/2026</t>
  </si>
  <si>
    <t>L042</t>
  </si>
  <si>
    <t>王念兵</t>
  </si>
  <si>
    <t>China, Suzhou</t>
  </si>
  <si>
    <t>xiaobing2221116</t>
  </si>
  <si>
    <t>张哥 Referral (L027)</t>
  </si>
  <si>
    <t>1,700,000</t>
  </si>
  <si>
    <t>The Manor</t>
  </si>
  <si>
    <t>25-02</t>
  </si>
  <si>
    <t>L043</t>
  </si>
  <si>
    <t>梁珍</t>
  </si>
  <si>
    <t>wxid_mci54cjcelxe12</t>
  </si>
  <si>
    <t>25,000</t>
  </si>
  <si>
    <t>Warehouse</t>
  </si>
  <si>
    <t>Surian Industrial Park</t>
  </si>
  <si>
    <t>13</t>
  </si>
  <si>
    <t>01/12/2025</t>
  </si>
  <si>
    <t>30/11/2027</t>
  </si>
  <si>
    <t>06/04/2026</t>
  </si>
  <si>
    <t>01/09/2027</t>
  </si>
  <si>
    <t>L044</t>
  </si>
  <si>
    <t>1,700</t>
  </si>
  <si>
    <t>Emporis Residence</t>
  </si>
  <si>
    <t>22/11/2025</t>
  </si>
  <si>
    <t>21/11/2026</t>
  </si>
  <si>
    <t>L045</t>
  </si>
  <si>
    <t>Piyush</t>
  </si>
  <si>
    <t>India</t>
  </si>
  <si>
    <t>+601133412678</t>
  </si>
  <si>
    <t>Tenant / Purchaser</t>
  </si>
  <si>
    <t>Rented / Purchased with another agent</t>
  </si>
  <si>
    <t>8,000 / 2,200,000</t>
  </si>
  <si>
    <t>A-15-03</t>
  </si>
  <si>
    <t>30/11/2026</t>
  </si>
  <si>
    <t>L046</t>
  </si>
  <si>
    <t>王先生 (Wang, Bochang)</t>
  </si>
  <si>
    <t>+601111749765</t>
  </si>
  <si>
    <t>wang513987</t>
  </si>
  <si>
    <t>WeChat &amp; WhatsApp</t>
  </si>
  <si>
    <t>Walk In Company</t>
  </si>
  <si>
    <t>8,500</t>
  </si>
  <si>
    <t>F-6-2</t>
  </si>
  <si>
    <t>16/12/2025</t>
  </si>
  <si>
    <t>15/12/2026</t>
  </si>
  <si>
    <t>Air Conds Issue</t>
  </si>
  <si>
    <t>L047</t>
  </si>
  <si>
    <t>Haidas</t>
  </si>
  <si>
    <t>+60169070450</t>
  </si>
  <si>
    <t>4,800</t>
  </si>
  <si>
    <t>Solaris ParQ</t>
  </si>
  <si>
    <t>A-3A-08</t>
  </si>
  <si>
    <t>01/01/2026</t>
  </si>
  <si>
    <t>01/10/2026</t>
  </si>
  <si>
    <t>L048</t>
  </si>
  <si>
    <t>Walton Sebastien</t>
  </si>
  <si>
    <t>+60124477584</t>
  </si>
  <si>
    <t>6,300</t>
  </si>
  <si>
    <t>Vipod KLCC</t>
  </si>
  <si>
    <t>05/03/2026</t>
  </si>
  <si>
    <t>→ Cheims(L049)</t>
  </si>
  <si>
    <t>L049</t>
  </si>
  <si>
    <t>Cheims (Sebastien's Cousin)</t>
  </si>
  <si>
    <t>+33622061190</t>
  </si>
  <si>
    <t>Sebastien Referral (L048)</t>
  </si>
  <si>
    <t>3,500</t>
  </si>
  <si>
    <t>20-07</t>
  </si>
  <si>
    <t>01/02/2026</t>
  </si>
  <si>
    <t>31/01/2027</t>
  </si>
  <si>
    <t>01/11/2026</t>
  </si>
  <si>
    <t>L050</t>
  </si>
  <si>
    <t>Nina</t>
  </si>
  <si>
    <t>+491711761988</t>
  </si>
  <si>
    <t>Ingo Referral (L035)</t>
  </si>
  <si>
    <t>Cheras</t>
  </si>
  <si>
    <t>3,700</t>
  </si>
  <si>
    <t>Sunway Velocity 2</t>
  </si>
  <si>
    <t>A-18-07</t>
  </si>
  <si>
    <t>19/01/2026</t>
  </si>
  <si>
    <t>18/01/2027</t>
  </si>
  <si>
    <t>20/04/2026</t>
  </si>
  <si>
    <t>L051</t>
  </si>
  <si>
    <t>Makayla</t>
  </si>
  <si>
    <t>USA</t>
  </si>
  <si>
    <t>+601172332475</t>
  </si>
  <si>
    <t>Inspirasi</t>
  </si>
  <si>
    <t>A-12-06</t>
  </si>
  <si>
    <t>20/06/2026</t>
  </si>
  <si>
    <t>19/06/2027</t>
  </si>
  <si>
    <t>Check In</t>
  </si>
  <si>
    <t>L052</t>
  </si>
  <si>
    <t>Ella (Mr Rana's PA)</t>
  </si>
  <si>
    <t>Malaysian</t>
  </si>
  <si>
    <t>+60189488089</t>
  </si>
  <si>
    <t>12-06</t>
  </si>
  <si>
    <t>03/07/2026</t>
  </si>
  <si>
    <t>02/07/2028</t>
  </si>
  <si>
    <t>Tenancy Approval</t>
  </si>
  <si>
    <t>L053</t>
  </si>
  <si>
    <t>Jinya</t>
  </si>
  <si>
    <t>+60178635729</t>
  </si>
  <si>
    <t>5,000</t>
  </si>
  <si>
    <t>C-20-09</t>
  </si>
  <si>
    <t>30/06/2028</t>
  </si>
  <si>
    <t>L054</t>
  </si>
  <si>
    <t>Tanir</t>
  </si>
  <si>
    <t>Kazakhstan</t>
  </si>
  <si>
    <t>+77028581277</t>
  </si>
  <si>
    <t>James CSX Referral</t>
  </si>
  <si>
    <t>A-18-08</t>
  </si>
  <si>
    <t>31/05/2027</t>
  </si>
  <si>
    <t>Repair &amp; Painting Maintenance</t>
  </si>
  <si>
    <t>📅  FOLLOW-UP SCHEDULE  |  Spencer — Kommons Realty</t>
  </si>
  <si>
    <t>Every touchpoint logged: WhatsApp · WeChat · Call · Meeting · Site Visit</t>
  </si>
  <si>
    <t>Contact Name</t>
  </si>
  <si>
    <t>Follow-Up Date</t>
  </si>
  <si>
    <t>Channel</t>
  </si>
  <si>
    <t>Purpose / Topic</t>
  </si>
  <si>
    <t>Outcome / Notes</t>
  </si>
  <si>
    <t>Next Action</t>
  </si>
  <si>
    <t>Appointment Date &amp; Time</t>
  </si>
  <si>
    <t>Follow Up Next Date</t>
  </si>
  <si>
    <t>Done?</t>
  </si>
  <si>
    <t>Remarks</t>
  </si>
  <si>
    <t>Pending</t>
  </si>
  <si>
    <t>RM4.2mil offer rejected on AB-39-02. Source alternative unit RM4.5mil+.</t>
  </si>
  <si>
    <t>Find new options MK 10 or similar</t>
  </si>
  <si>
    <t>10/06/2026</t>
  </si>
  <si>
    <t>☐</t>
  </si>
  <si>
    <t>The Residence - RM 13.5mil, Damansara Heights 15mil, Damansara Heights(Jin) - RM 9.2mil</t>
  </si>
  <si>
    <t>Test Water</t>
  </si>
  <si>
    <t>Confirm if proceeding</t>
  </si>
  <si>
    <t>6/9/2026 4pm</t>
  </si>
  <si>
    <t xml:space="preserve">Rescheduled 9/6/2026 </t>
  </si>
  <si>
    <t>Villa Aseana (Rinna) 5:30pm  •  Duta Tropika (Sam) 6pm</t>
  </si>
  <si>
    <t>Viewed, seems like considering.</t>
  </si>
  <si>
    <t>Follow up on interest</t>
  </si>
  <si>
    <t>4/6/2026 5.30pm</t>
  </si>
  <si>
    <t>Done</t>
  </si>
  <si>
    <t>Client feels like prefer Villa Aseana &amp; Kiaraville</t>
  </si>
  <si>
    <t>Follow up viewing interest — Hijauan Kiara / MK Damai</t>
  </si>
  <si>
    <t>Pending appointment date confirmation.</t>
  </si>
  <si>
    <t>Arrange next viewing</t>
  </si>
  <si>
    <t>7/6/2026 TBC</t>
  </si>
  <si>
    <t>08/06/2026</t>
  </si>
  <si>
    <t>Follow up purchase intent</t>
  </si>
  <si>
    <t>07/06/2026</t>
  </si>
  <si>
    <t>Send MK listings 1,500–1,800 sq ft, RM2mil budget</t>
  </si>
  <si>
    <t>Shortlist &amp; book viewing</t>
  </si>
  <si>
    <t>KLTS Gombak vacant — find new tenant (Cotti Coffee breached)</t>
  </si>
  <si>
    <t>Market the unit</t>
  </si>
  <si>
    <t>15/06/2026</t>
  </si>
  <si>
    <t>Tenant allows viewing from 15/06 — arrange for prospects</t>
  </si>
  <si>
    <t>Match with suitable tenant</t>
  </si>
  <si>
    <t>17/06/2026</t>
  </si>
  <si>
    <t>Search suitable rental units for Brian</t>
  </si>
  <si>
    <t>Send shortlist</t>
  </si>
  <si>
    <t>Settling sewerage smell — master bedroom issue</t>
  </si>
  <si>
    <t>Done Fixed, monitor for 3 days.</t>
  </si>
  <si>
    <t>Contractor update</t>
  </si>
  <si>
    <t>Looking for 3-bed 1,800 sq ft MK</t>
  </si>
  <si>
    <t>Send listings</t>
  </si>
  <si>
    <t>12/06/2026</t>
  </si>
  <si>
    <t>Tenancy Renewal — Sunway Palmville B-9-4</t>
  </si>
  <si>
    <t>Prepare renewal TA</t>
  </si>
  <si>
    <t>Allevia B-29-01 available 01/07/2026 — find tenant</t>
  </si>
  <si>
    <t>Market listing</t>
  </si>
  <si>
    <t>💰  SALES PIPELINE  |  Spencer — Kommons Realty Sdn Bhd</t>
  </si>
  <si>
    <t>Track every deal: viewing → offer → LOO → SPA → Completion  |  Currency: RM</t>
  </si>
  <si>
    <t>Deal ID</t>
  </si>
  <si>
    <t>Client Name</t>
  </si>
  <si>
    <t>Project / Address</t>
  </si>
  <si>
    <t>Type</t>
  </si>
  <si>
    <t>Stage</t>
  </si>
  <si>
    <t>Transaction Price (RM)</t>
  </si>
  <si>
    <t>Comm %</t>
  </si>
  <si>
    <t>Est. Comm (RM)</t>
  </si>
  <si>
    <t>LOO Date</t>
  </si>
  <si>
    <t>SPA Date</t>
  </si>
  <si>
    <t>VP / Move-in</t>
  </si>
  <si>
    <t>Days to Close</t>
  </si>
  <si>
    <t>D001</t>
  </si>
  <si>
    <t>Bungalow, 9 Jalan Laman Setiakasih 8</t>
  </si>
  <si>
    <t>Damansara Heights</t>
  </si>
  <si>
    <t>Purchase</t>
  </si>
  <si>
    <t>Viewing / Test Water</t>
  </si>
  <si>
    <t>RM10mil bungalow. Local Chinese loan buyer. Appointment 04/06/2026.</t>
  </si>
  <si>
    <t>D002</t>
  </si>
  <si>
    <t>Kiaraville / Villa Aseana / Duta Tropika</t>
  </si>
  <si>
    <t>Viewing</t>
  </si>
  <si>
    <t>Cash buyer from Beijing. Viewed multiple options. Interested in large older condo RM1.55mil.</t>
  </si>
  <si>
    <t>D003</t>
  </si>
  <si>
    <t>Ingo &amp; Ms Thao</t>
  </si>
  <si>
    <t>Germany / Vietnam</t>
  </si>
  <si>
    <t>Hijauan Kiara / MK Damai</t>
  </si>
  <si>
    <t>Viewing / Negotiating</t>
  </si>
  <si>
    <t>German cash buyer. Wants to buy for own stay, then rent out.</t>
  </si>
  <si>
    <t>D004</t>
  </si>
  <si>
    <t>TBC — 1,500–1,800 sq ft MK</t>
  </si>
  <si>
    <t>Searching</t>
  </si>
  <si>
    <t>WeChat lead. China cash purchaser. Shortlisting needed.</t>
  </si>
  <si>
    <t>D005</t>
  </si>
  <si>
    <t>MK 10, Mont Kiara</t>
  </si>
  <si>
    <t>Offer Rejected — Searching</t>
  </si>
  <si>
    <t>Offered RM4.2mil on AB-39-02, rejected. Owner wants RM4.5mil+. Indian purchaser, keep searching.</t>
  </si>
  <si>
    <t>TOTAL ESTIMATED COMMISSION (if all close)</t>
  </si>
  <si>
    <t>📊  SPENCER'S CRM DASHBOARD  |  KOMMONS REALTY SDN BHD</t>
  </si>
  <si>
    <t>Focus: Mont Kiara · KLCC · Desa Park City  |  Primary: China Mainland (75%)  |  Updated: 04 June 2026</t>
  </si>
  <si>
    <t>TOTAL CONTACTS</t>
  </si>
  <si>
    <t>ACTIVE LEADS</t>
  </si>
  <si>
    <t>DONE DEALS</t>
  </si>
  <si>
    <t>2026 GCI (YTD)</t>
  </si>
  <si>
    <t>58</t>
  </si>
  <si>
    <t>8</t>
  </si>
  <si>
    <t>50</t>
  </si>
  <si>
    <t>RM 16,000</t>
  </si>
  <si>
    <t>in this CRM</t>
  </si>
  <si>
    <t>needs follow-up</t>
  </si>
  <si>
    <t>past clients / closed</t>
  </si>
  <si>
    <t>⚠️ Bottleneck — Jun 2026</t>
  </si>
  <si>
    <t>HOT LEADS 🔥</t>
  </si>
  <si>
    <t>PIPELINE VALUE</t>
  </si>
  <si>
    <t>EST. COMMISSION</t>
  </si>
  <si>
    <t>REFERRAL NETWORK</t>
  </si>
  <si>
    <t>5</t>
  </si>
  <si>
    <t>RM 20.8mil</t>
  </si>
  <si>
    <t>RM 416k</t>
  </si>
  <si>
    <t>7 referrers</t>
  </si>
  <si>
    <t>Datuk Francis · 周先生 · Ingo · 马太太 · Umesh</t>
  </si>
  <si>
    <t>5 active deals</t>
  </si>
  <si>
    <t>if all 5 close @ 2%</t>
  </si>
  <si>
    <t>Andreas·DrLee·Joanne·王哥·Ingo·Sebastien·Caryn</t>
  </si>
  <si>
    <t>PERFORMANCE HISTORY</t>
  </si>
  <si>
    <t>CLIENT NATIONALITY BREAKDOWN</t>
  </si>
  <si>
    <t>Period</t>
  </si>
  <si>
    <t>GCI (RM)</t>
  </si>
  <si>
    <t>Avg/Month</t>
  </si>
  <si>
    <t>Count</t>
  </si>
  <si>
    <t>Primary Channel</t>
  </si>
  <si>
    <t>Jul–Dec 2023</t>
  </si>
  <si>
    <t>✅ Strong Start</t>
  </si>
  <si>
    <t>China 🇨🇳</t>
  </si>
  <si>
    <t>~20</t>
  </si>
  <si>
    <t>Buyer / Investor / Tenant</t>
  </si>
  <si>
    <t>Jan–Dec 2024</t>
  </si>
  <si>
    <t>✅ Best Year</t>
  </si>
  <si>
    <t>Malaysia 🇲🇾</t>
  </si>
  <si>
    <t>~18</t>
  </si>
  <si>
    <t>Owner / Buyer / Tenant</t>
  </si>
  <si>
    <t>Jan–Jun 2026</t>
  </si>
  <si>
    <t>⚠️ Bottleneck</t>
  </si>
  <si>
    <t>Germany 🇩🇪</t>
  </si>
  <si>
    <t>~8</t>
  </si>
  <si>
    <t>Tenant / Buyer</t>
  </si>
  <si>
    <t>Other Europe</t>
  </si>
  <si>
    <t>~5</t>
  </si>
  <si>
    <t>LIVE PIPELINE SUMMARY</t>
  </si>
  <si>
    <t>Japan / Korea</t>
  </si>
  <si>
    <t>~3</t>
  </si>
  <si>
    <t>WhatsApp / WeChat</t>
  </si>
  <si>
    <t>Client</t>
  </si>
  <si>
    <t>💡  2026 RECOVERY PLAN — Spencer's Priority Actions</t>
  </si>
  <si>
    <t>RM 200,000</t>
  </si>
  <si>
    <t>#</t>
  </si>
  <si>
    <t>Action</t>
  </si>
  <si>
    <t>RM 40,000</t>
  </si>
  <si>
    <t>🔥 Close NOW — 5 hot pipeline deals worth RM416k commission. Datuk Francis alone = RM200k. Daily focus.</t>
  </si>
  <si>
    <t>RM 36,000</t>
  </si>
  <si>
    <t>🔁 Referral ask — 7 contacts have referred clients. After every successful deal, ask for 1 referral.</t>
  </si>
  <si>
    <t>🏠 Fill vacancies — Zoey Lim (L031 viewing 15 Jun), Sharavana B-29-01 (Jul), Patrick Chow KLTS. Match to active leads.</t>
  </si>
  <si>
    <t>RM 100,000</t>
  </si>
  <si>
    <t>📋 Renewals pipeline — 15+ contacts flagged for renewal. Each = commission + relationship. Do these weekly.</t>
  </si>
  <si>
    <t>📱 WeChat post — every Monday morning. Market update or listing highlight. Keeps China network warm.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</si>
</sst>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RM-4409]#,##0.00"/>
    <numFmt numFmtId="165" formatCode="&quot;RM &quot;#,##0"/>
  </numFmts>
  <fonts count="16">
    <font>
      <sz val="11.0"/>
      <color theme="1"/>
      <name val="Calibri"/>
      <scheme val="minor"/>
    </font>
    <font>
      <b/>
      <sz val="13.0"/>
      <color rgb="FF2D2D2D"/>
      <name val="Arial"/>
    </font>
    <font/>
    <font>
      <sz val="8.0"/>
      <color rgb="FF5A5A5A"/>
      <name val="Arial"/>
    </font>
    <font>
      <b/>
      <sz val="9.0"/>
      <color rgb="FFF5C518"/>
      <name val="Arial"/>
    </font>
    <font>
      <sz val="9.0"/>
      <color rgb="FF2D2D2D"/>
      <name val="Arial"/>
    </font>
    <font>
      <color theme="1"/>
      <name val="Calibri"/>
      <scheme val="minor"/>
    </font>
    <font>
      <sz val="11.0"/>
      <color theme="1"/>
      <name val="Calibri"/>
    </font>
    <font>
      <b/>
      <sz val="9.0"/>
      <color rgb="FF2D2D2D"/>
      <name val="Arial"/>
    </font>
    <font>
      <b/>
      <sz val="10.0"/>
      <color rgb="FFF5C518"/>
      <name val="Arial"/>
    </font>
    <font>
      <b/>
      <sz val="11.0"/>
      <color rgb="FFF5C518"/>
      <name val="Arial"/>
    </font>
    <font>
      <b/>
      <sz val="15.0"/>
      <color rgb="FF2D2D2D"/>
      <name val="Arial"/>
    </font>
    <font>
      <sz val="9.0"/>
      <color rgb="FF5A5A5A"/>
      <name val="Arial"/>
    </font>
    <font>
      <b/>
      <sz val="8.0"/>
      <color rgb="FFF5C518"/>
      <name val="Arial"/>
    </font>
    <font>
      <b/>
      <sz val="16.0"/>
      <color rgb="FF2D2D2D"/>
      <name val="Arial"/>
    </font>
    <font>
      <b/>
      <sz val="10.0"/>
      <color rgb="FF2D2D2D"/>
      <name val="Arial"/>
    </font>
  </fonts>
  <fills count="16">
    <fill>
      <patternFill patternType="none"/>
    </fill>
    <fill>
      <patternFill patternType="lightGray"/>
    </fill>
    <fill>
      <patternFill patternType="solid">
        <fgColor rgb="FFF5C518"/>
        <bgColor rgb="FFF5C518"/>
      </patternFill>
    </fill>
    <fill>
      <patternFill patternType="solid">
        <fgColor rgb="FFD9D9D9"/>
        <bgColor rgb="FFD9D9D9"/>
      </patternFill>
    </fill>
    <fill>
      <patternFill patternType="solid">
        <fgColor rgb="FF2D2D2D"/>
        <bgColor rgb="FF2D2D2D"/>
      </patternFill>
    </fill>
    <fill>
      <patternFill patternType="solid">
        <fgColor rgb="FFFFEBEE"/>
        <bgColor rgb="FFFFEBEE"/>
      </patternFill>
    </fill>
    <fill>
      <patternFill patternType="solid">
        <fgColor rgb="FFFFF3E0"/>
        <bgColor rgb="FFFFF3E0"/>
      </patternFill>
    </fill>
    <fill>
      <patternFill patternType="solid">
        <fgColor rgb="FFE3F2FD"/>
        <bgColor rgb="FFE3F2FD"/>
      </patternFill>
    </fill>
    <fill>
      <patternFill patternType="solid">
        <fgColor rgb="FFFFF9D6"/>
        <bgColor rgb="FFFFF9D6"/>
      </patternFill>
    </fill>
    <fill>
      <patternFill patternType="solid">
        <fgColor rgb="FFE8F5E9"/>
        <bgColor rgb="FFE8F5E9"/>
      </patternFill>
    </fill>
    <fill>
      <patternFill patternType="solid">
        <fgColor rgb="FFD4EDDA"/>
        <bgColor rgb="FFD4EDDA"/>
      </patternFill>
    </fill>
    <fill>
      <patternFill patternType="solid">
        <fgColor rgb="FFFFF9C4"/>
        <bgColor rgb="FFFFF9C4"/>
      </patternFill>
    </fill>
    <fill>
      <patternFill patternType="solid">
        <fgColor rgb="FFFFF3A0"/>
        <bgColor rgb="FFFFF3A0"/>
      </patternFill>
    </fill>
    <fill>
      <patternFill patternType="solid">
        <fgColor rgb="FFF4F4F4"/>
        <bgColor rgb="FFF4F4F4"/>
      </patternFill>
    </fill>
    <fill>
      <patternFill patternType="solid">
        <fgColor rgb="FFFFFFFF"/>
        <bgColor rgb="FFFFFFFF"/>
      </patternFill>
    </fill>
    <fill>
      <patternFill patternType="solid">
        <fgColor rgb="FFFFF59D"/>
        <bgColor indexed="64"/>
      </patternFill>
    </fill>
  </fills>
  <borders count="11">
    <border/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/>
      <top/>
      <bottom/>
    </border>
    <border>
      <top/>
      <bottom/>
    </border>
    <border>
      <right/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0" fontId="2" numFmtId="0" xfId="0" applyBorder="1" applyFont="1"/>
    <xf borderId="3" fillId="0" fontId="2" numFmtId="0" xfId="0" applyBorder="1" applyFont="1"/>
    <xf borderId="4" fillId="3" fontId="3" numFmtId="0" xfId="0" applyAlignment="1" applyBorder="1" applyFill="1" applyFont="1">
      <alignment horizontal="center" shrinkToFit="0" vertical="center" wrapText="1"/>
    </xf>
    <xf borderId="5" fillId="0" fontId="2" numFmtId="0" xfId="0" applyBorder="1" applyFont="1"/>
    <xf borderId="6" fillId="0" fontId="2" numFmtId="0" xfId="0" applyBorder="1" applyFont="1"/>
    <xf borderId="7" fillId="4" fontId="4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ont="1">
      <alignment horizontal="left" shrinkToFit="0" vertical="center" wrapText="1"/>
    </xf>
    <xf borderId="7" fillId="5" fontId="5" numFmtId="164" xfId="0" applyAlignment="1" applyBorder="1" applyFont="1" applyNumberFormat="1">
      <alignment horizontal="center" shrinkToFit="0" vertical="center" wrapText="1"/>
    </xf>
    <xf borderId="7" fillId="6" fontId="5" numFmtId="0" xfId="0" applyAlignment="1" applyBorder="1" applyFill="1" applyFont="1">
      <alignment horizontal="center" shrinkToFit="0" vertical="center" wrapText="1"/>
    </xf>
    <xf borderId="7" fillId="6" fontId="5" numFmtId="0" xfId="0" applyAlignment="1" applyBorder="1" applyFont="1">
      <alignment horizontal="left" shrinkToFit="0" vertical="center" wrapText="1"/>
    </xf>
    <xf borderId="7" fillId="6" fontId="5" numFmtId="164" xfId="0" applyAlignment="1" applyBorder="1" applyFont="1" applyNumberFormat="1">
      <alignment horizontal="center" shrinkToFit="0" vertical="center" wrapText="1"/>
    </xf>
    <xf borderId="7" fillId="7" fontId="5" numFmtId="0" xfId="0" applyAlignment="1" applyBorder="1" applyFill="1" applyFont="1">
      <alignment horizontal="center" shrinkToFit="0" vertical="center" wrapText="1"/>
    </xf>
    <xf borderId="7" fillId="7" fontId="5" numFmtId="0" xfId="0" applyAlignment="1" applyBorder="1" applyFont="1">
      <alignment horizontal="left" shrinkToFit="0" vertical="center" wrapText="1"/>
    </xf>
    <xf borderId="7" fillId="7" fontId="5" numFmtId="164" xfId="0" applyAlignment="1" applyBorder="1" applyFont="1" applyNumberFormat="1">
      <alignment horizontal="center" shrinkToFit="0" vertical="center" wrapText="1"/>
    </xf>
    <xf borderId="7" fillId="8" fontId="5" numFmtId="0" xfId="0" applyAlignment="1" applyBorder="1" applyFill="1" applyFont="1">
      <alignment horizontal="center" shrinkToFit="0" vertical="center" wrapText="1"/>
    </xf>
    <xf borderId="7" fillId="8" fontId="5" numFmtId="0" xfId="0" applyAlignment="1" applyBorder="1" applyFont="1">
      <alignment horizontal="left" shrinkToFit="0" vertical="center" wrapText="1"/>
    </xf>
    <xf borderId="7" fillId="8" fontId="5" numFmtId="164" xfId="0" applyAlignment="1" applyBorder="1" applyFont="1" applyNumberFormat="1">
      <alignment horizontal="center" shrinkToFit="0" vertical="center" wrapText="1"/>
    </xf>
    <xf borderId="7" fillId="6" fontId="5" numFmtId="14" xfId="0" applyAlignment="1" applyBorder="1" applyFont="1" applyNumberFormat="1">
      <alignment horizontal="center" shrinkToFit="0" vertical="center" wrapText="1"/>
    </xf>
    <xf borderId="7" fillId="9" fontId="5" numFmtId="0" xfId="0" applyAlignment="1" applyBorder="1" applyFill="1" applyFont="1">
      <alignment horizontal="center" shrinkToFit="0" vertical="center" wrapText="1"/>
    </xf>
    <xf borderId="7" fillId="9" fontId="5" numFmtId="0" xfId="0" applyAlignment="1" applyBorder="1" applyFont="1">
      <alignment horizontal="left" shrinkToFit="0" vertical="center" wrapText="1"/>
    </xf>
    <xf borderId="0" fillId="0" fontId="6" numFmtId="0" xfId="0" applyFont="1"/>
    <xf borderId="0" fillId="0" fontId="7" numFmtId="14" xfId="0" applyFont="1" applyNumberFormat="1"/>
    <xf borderId="0" fillId="0" fontId="7" numFmtId="0" xfId="0" applyFont="1"/>
    <xf borderId="7" fillId="9" fontId="8" numFmtId="0" xfId="0" applyAlignment="1" applyBorder="1" applyFont="1">
      <alignment horizontal="left" shrinkToFit="0" vertical="center" wrapText="1"/>
    </xf>
    <xf borderId="7" fillId="10" fontId="5" numFmtId="0" xfId="0" applyAlignment="1" applyBorder="1" applyFill="1" applyFont="1">
      <alignment horizontal="center" shrinkToFit="0" vertical="center" wrapText="1"/>
    </xf>
    <xf borderId="7" fillId="10" fontId="5" numFmtId="0" xfId="0" applyAlignment="1" applyBorder="1" applyFont="1">
      <alignment horizontal="left" shrinkToFit="0" vertical="center" wrapText="1"/>
    </xf>
    <xf borderId="7" fillId="3" fontId="5" numFmtId="0" xfId="0" applyAlignment="1" applyBorder="1" applyFont="1">
      <alignment horizontal="center" shrinkToFit="0" vertical="center" wrapText="1"/>
    </xf>
    <xf borderId="7" fillId="3" fontId="5" numFmtId="0" xfId="0" applyAlignment="1" applyBorder="1" applyFont="1">
      <alignment horizontal="left" shrinkToFit="0" vertical="center" wrapText="1"/>
    </xf>
    <xf borderId="7" fillId="11" fontId="5" numFmtId="0" xfId="0" applyAlignment="1" applyBorder="1" applyFill="1" applyFont="1">
      <alignment horizontal="center" shrinkToFit="0" vertical="center" wrapText="1"/>
    </xf>
    <xf borderId="7" fillId="11" fontId="5" numFmtId="0" xfId="0" applyAlignment="1" applyBorder="1" applyFont="1">
      <alignment horizontal="left" shrinkToFit="0" vertical="center" wrapText="1"/>
    </xf>
    <xf borderId="7" fillId="6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center" readingOrder="0" shrinkToFit="0" vertical="center" wrapText="1"/>
    </xf>
    <xf borderId="7" fillId="6" fontId="5" numFmtId="165" xfId="0" applyAlignment="1" applyBorder="1" applyFont="1" applyNumberFormat="1">
      <alignment horizontal="left" shrinkToFit="0" vertical="center" wrapText="1"/>
    </xf>
    <xf borderId="7" fillId="6" fontId="5" numFmtId="9" xfId="0" applyAlignment="1" applyBorder="1" applyFont="1" applyNumberFormat="1">
      <alignment horizontal="center" shrinkToFit="0" vertical="center" wrapText="1"/>
    </xf>
    <xf borderId="7" fillId="6" fontId="5" numFmtId="165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left" shrinkToFit="0" vertical="center" wrapText="1"/>
    </xf>
    <xf borderId="7" fillId="8" fontId="5" numFmtId="9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center" shrinkToFit="0" vertical="center" wrapText="1"/>
    </xf>
    <xf borderId="7" fillId="12" fontId="5" numFmtId="0" xfId="0" applyAlignment="1" applyBorder="1" applyFill="1" applyFont="1">
      <alignment horizontal="center" shrinkToFit="0" vertical="center" wrapText="1"/>
    </xf>
    <xf borderId="7" fillId="12" fontId="5" numFmtId="0" xfId="0" applyAlignment="1" applyBorder="1" applyFont="1">
      <alignment horizontal="left" shrinkToFit="0" vertical="center" wrapText="1"/>
    </xf>
    <xf borderId="7" fillId="12" fontId="5" numFmtId="165" xfId="0" applyAlignment="1" applyBorder="1" applyFont="1" applyNumberFormat="1">
      <alignment horizontal="left" shrinkToFit="0" vertical="center" wrapText="1"/>
    </xf>
    <xf borderId="7" fillId="12" fontId="5" numFmtId="9" xfId="0" applyAlignment="1" applyBorder="1" applyFont="1" applyNumberFormat="1">
      <alignment horizontal="center" shrinkToFit="0" vertical="center" wrapText="1"/>
    </xf>
    <xf borderId="7" fillId="12" fontId="5" numFmtId="165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left" shrinkToFit="0" vertical="center" wrapText="1"/>
    </xf>
    <xf borderId="7" fillId="7" fontId="5" numFmtId="9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left" shrinkToFit="0" vertical="center" wrapText="1"/>
    </xf>
    <xf borderId="7" fillId="5" fontId="5" numFmtId="9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center" shrinkToFit="0" vertical="center" wrapText="1"/>
    </xf>
    <xf borderId="8" fillId="4" fontId="9" numFmtId="0" xfId="0" applyAlignment="1" applyBorder="1" applyFont="1">
      <alignment horizontal="center" shrinkToFit="0" vertical="center" wrapText="1"/>
    </xf>
    <xf borderId="9" fillId="0" fontId="2" numFmtId="0" xfId="0" applyBorder="1" applyFont="1"/>
    <xf borderId="10" fillId="0" fontId="2" numFmtId="0" xfId="0" applyBorder="1" applyFont="1"/>
    <xf borderId="7" fillId="4" fontId="10" numFmtId="165" xfId="0" applyAlignment="1" applyBorder="1" applyFont="1" applyNumberFormat="1">
      <alignment horizontal="center" shrinkToFit="0" vertical="center" wrapText="1"/>
    </xf>
    <xf borderId="7" fillId="4" fontId="7" numFmtId="0" xfId="0" applyBorder="1" applyFont="1"/>
    <xf borderId="1" fillId="2" fontId="11" numFmtId="0" xfId="0" applyAlignment="1" applyBorder="1" applyFont="1">
      <alignment horizontal="center" shrinkToFit="0" vertical="center" wrapText="1"/>
    </xf>
    <xf borderId="4" fillId="3" fontId="12" numFmtId="0" xfId="0" applyAlignment="1" applyBorder="1" applyFont="1">
      <alignment horizontal="center" shrinkToFit="0" vertical="center" wrapText="1"/>
    </xf>
    <xf borderId="1" fillId="4" fontId="13" numFmtId="0" xfId="0" applyAlignment="1" applyBorder="1" applyFont="1">
      <alignment horizontal="center" shrinkToFit="0" vertical="center" wrapText="1"/>
    </xf>
    <xf borderId="8" fillId="8" fontId="14" numFmtId="0" xfId="0" applyAlignment="1" applyBorder="1" applyFont="1">
      <alignment horizontal="center" shrinkToFit="0" vertical="center" wrapText="1"/>
    </xf>
    <xf borderId="8" fillId="13" fontId="3" numFmtId="0" xfId="0" applyAlignment="1" applyBorder="1" applyFill="1" applyFont="1">
      <alignment horizontal="center" shrinkToFit="0" vertical="center" wrapText="1"/>
    </xf>
    <xf borderId="1" fillId="2" fontId="15" numFmtId="0" xfId="0" applyAlignment="1" applyBorder="1" applyFont="1">
      <alignment horizontal="center" shrinkToFit="0" vertical="center" wrapText="1"/>
    </xf>
    <xf borderId="7" fillId="9" fontId="5" numFmtId="165" xfId="0" applyAlignment="1" applyBorder="1" applyFont="1" applyNumberFormat="1">
      <alignment horizontal="center" shrinkToFit="0" vertical="center" wrapText="1"/>
    </xf>
    <xf borderId="7" fillId="14" fontId="5" numFmtId="0" xfId="0" applyAlignment="1" applyBorder="1" applyFill="1" applyFont="1">
      <alignment horizontal="left" shrinkToFit="0" vertical="center" wrapText="1"/>
    </xf>
    <xf borderId="7" fillId="14" fontId="5" numFmtId="0" xfId="0" applyAlignment="1" applyBorder="1" applyFont="1">
      <alignment horizontal="center" shrinkToFit="0" vertical="center" wrapText="1"/>
    </xf>
    <xf borderId="7" fillId="6" fontId="8" numFmtId="0" xfId="0" applyAlignment="1" applyBorder="1" applyFont="1">
      <alignment horizontal="left" shrinkToFit="0" vertical="center" wrapText="1"/>
    </xf>
    <xf borderId="8" fillId="4" fontId="4" numFmtId="0" xfId="0" applyAlignment="1" applyBorder="1" applyFont="1">
      <alignment horizontal="center" shrinkToFit="0" vertical="center" wrapText="1"/>
    </xf>
    <xf borderId="7" fillId="14" fontId="8" numFmtId="0" xfId="0" applyAlignment="1" applyBorder="1" applyFont="1">
      <alignment horizontal="center" shrinkToFit="0" vertical="center" wrapText="1"/>
    </xf>
    <xf borderId="8" fillId="14" fontId="5" numFmtId="0" xfId="0" applyAlignment="1" applyBorder="1" applyFont="1">
      <alignment horizontal="left" shrinkToFit="0" vertical="center" wrapText="1"/>
    </xf>
    <xf borderId="7" fillId="8" fontId="8" numFmtId="0" xfId="0" applyAlignment="1" applyBorder="1" applyFont="1">
      <alignment horizontal="center" shrinkToFit="0" vertical="center" wrapText="1"/>
    </xf>
    <xf borderId="8" fillId="8" fontId="5" numFmtId="0" xfId="0" applyAlignment="1" applyBorder="1" applyFont="1">
      <alignment horizontal="left" shrinkToFit="0" vertical="center" wrapText="1"/>
    </xf>
    <xf borderId="7" fillId="15" fontId="5" numFmtId="0" xfId="0" applyAlignment="1" applyBorder="1" applyFill="1" applyFont="1">
      <alignment horizontal="center" shrinkToFit="0" vertical="center" wrapText="1"/>
    </xf>
    <xf borderId="7" fillId="15" fontId="5" numFmtId="0" xfId="0" applyAlignment="1" applyBorder="1" applyFont="1" applyFill="1">
      <alignment horizontal="left" shrinkToFit="0" vertical="center" wrapText="1"/>
    </xf>
    <xf borderId="0" fillId="15" fontId="6" numFmtId="0" xfId="0" applyFont="1" applyFill="1"/>
    <xf borderId="0" fillId="15" fontId="7" numFmtId="14" xfId="0" applyFont="1" applyNumberFormat="1" applyFill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5C51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2.0"/>
    <col customWidth="1" min="11" max="11" width="10.0"/>
    <col customWidth="1" min="12" max="12" width="18.0"/>
    <col customWidth="1" min="13" max="14" width="15.71"/>
    <col customWidth="1" min="15" max="15" width="6.0"/>
    <col customWidth="1" min="16" max="16" width="18.0"/>
    <col customWidth="1" min="17" max="17" width="21.0"/>
    <col customWidth="1" min="18" max="18" width="18.57"/>
    <col customWidth="1" min="19" max="19" width="18.71"/>
    <col customWidth="1" min="20" max="20" width="12.0"/>
    <col customWidth="1" min="21" max="21" width="34.0"/>
    <col customWidth="1" min="22" max="22" width="22.0"/>
    <col customWidth="1" min="23" max="26" width="8.71"/>
  </cols>
  <sheetData>
    <row r="1" ht="37.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3"/>
    </row>
    <row r="2" ht="16.5" customHeight="1">
      <c r="A2" s="4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14</v>
      </c>
      <c r="N3" s="7" t="s">
        <v>15</v>
      </c>
      <c r="O3" s="7" t="s">
        <v>16</v>
      </c>
      <c r="P3" s="7" t="s">
        <v>17</v>
      </c>
      <c r="Q3" s="7" t="s">
        <v>18</v>
      </c>
      <c r="R3" s="7" t="s">
        <v>19</v>
      </c>
      <c r="S3" s="7" t="s">
        <v>20</v>
      </c>
      <c r="T3" s="7" t="s">
        <v>21</v>
      </c>
      <c r="U3" s="7" t="s">
        <v>22</v>
      </c>
      <c r="V3" s="7" t="s">
        <v>23</v>
      </c>
    </row>
    <row r="4" ht="22.5" customHeight="1">
      <c r="A4" s="8" t="s">
        <v>24</v>
      </c>
      <c r="B4" s="9" t="s">
        <v>25</v>
      </c>
      <c r="C4" s="9" t="s">
        <v>26</v>
      </c>
      <c r="D4" s="8" t="s">
        <v>27</v>
      </c>
      <c r="E4" s="9" t="s">
        <v>28</v>
      </c>
      <c r="F4" s="9"/>
      <c r="G4" s="9" t="s">
        <v>6</v>
      </c>
      <c r="H4" s="9" t="s">
        <v>29</v>
      </c>
      <c r="I4" s="9" t="s">
        <v>30</v>
      </c>
      <c r="J4" s="9" t="s">
        <v>31</v>
      </c>
      <c r="K4" s="8" t="s">
        <v>32</v>
      </c>
      <c r="L4" s="9" t="inlineStr">
        <is>
          <t xml:space="preserve">Setapak</t>
        </is>
      </c>
      <c r="M4" s="10">
        <v>9500.0</v>
      </c>
      <c r="N4" s="10"/>
      <c r="O4" s="8"/>
      <c r="P4" s="9" t="s">
        <v>34</v>
      </c>
      <c r="Q4" s="9" t="inlineStr">
        <is>
          <t xml:space="preserve">KLTS Setapak</t>
        </is>
      </c>
      <c r="R4" s="9" t="inlineStr">
        <is>
          <t xml:space="preserve">51-G-1</t>
        </is>
      </c>
      <c r="S4" s="8" t="inlineStr">
        <is>
          <t xml:space="preserve">09/06/2026</t>
        </is>
      </c>
      <c r="T4" s="8" t="inlineStr">
        <is>
          <t xml:space="preserve">12/06/2026</t>
        </is>
      </c>
      <c r="U4" s="9" t="s">
        <v>38</v>
      </c>
      <c r="V4" s="9"/>
    </row>
    <row r="5" ht="22.5" customHeight="1">
      <c r="A5" s="14" t="s">
        <v>48</v>
      </c>
      <c r="B5" s="15" t="s">
        <v>49</v>
      </c>
      <c r="C5" s="15" t="s">
        <v>50</v>
      </c>
      <c r="D5" s="14" t="s">
        <v>51</v>
      </c>
      <c r="E5" s="15" t="s">
        <v>52</v>
      </c>
      <c r="F5" s="15"/>
      <c r="G5" s="15" t="s">
        <v>6</v>
      </c>
      <c r="H5" s="15" t="s">
        <v>53</v>
      </c>
      <c r="I5" s="15" t="s">
        <v>54</v>
      </c>
      <c r="J5" s="15" t="inlineStr">
        <is>
          <t xml:space="preserve">Viewing / Negotiating — Hijauan &amp; MK Damai</t>
        </is>
      </c>
      <c r="K5" s="14" t="s">
        <v>32</v>
      </c>
      <c r="L5" s="15" t="s">
        <v>56</v>
      </c>
      <c r="M5" s="16">
        <v>1800000.0</v>
      </c>
      <c r="N5" s="16"/>
      <c r="O5" s="14" t="s">
        <v>57</v>
      </c>
      <c r="P5" s="15" t="s">
        <v>58</v>
      </c>
      <c r="Q5" s="15" t="s">
        <v>59</v>
      </c>
      <c r="R5" s="15" t="s">
        <v>60</v>
      </c>
      <c r="S5" s="14" t="inlineStr">
        <is>
          <t xml:space="preserve">09/06/2026</t>
        </is>
      </c>
      <c r="T5" s="14" t="inlineStr">
        <is>
          <t xml:space="preserve">26/06/2026</t>
        </is>
      </c>
      <c r="U5" s="15" t="inlineStr">
        <is>
          <t xml:space="preserve">Buy for own stay then rent. Prefer Hijauan Kiara + Trinity Pentamont (RM1.75m, Lvl 2, below mkt — keen to view). OPEN balcony only (dislike lanai). Budget ~RM1.8m.</t>
        </is>
      </c>
      <c r="V5" s="15" t="s">
        <v>64</v>
      </c>
    </row>
    <row r="6" ht="22.5" customHeight="1">
      <c r="A6" s="14" t="s">
        <v>65</v>
      </c>
      <c r="B6" s="15" t="s">
        <v>66</v>
      </c>
      <c r="C6" s="15" t="s">
        <v>67</v>
      </c>
      <c r="D6" s="14" t="s">
        <v>51</v>
      </c>
      <c r="E6" s="15" t="s">
        <v>68</v>
      </c>
      <c r="F6" s="15"/>
      <c r="G6" s="15" t="s">
        <v>6</v>
      </c>
      <c r="H6" s="15" t="s">
        <v>53</v>
      </c>
      <c r="I6" s="15" t="s">
        <v>54</v>
      </c>
      <c r="J6" s="15" t="inlineStr">
        <is>
          <t xml:space="preserve">Viewing / Negotiating — Hijauan &amp; MK Damai</t>
        </is>
      </c>
      <c r="K6" s="14" t="s">
        <v>32</v>
      </c>
      <c r="L6" s="15" t="s">
        <v>56</v>
      </c>
      <c r="M6" s="16">
        <v>1800000.0</v>
      </c>
      <c r="N6" s="16"/>
      <c r="O6" s="14" t="s">
        <v>57</v>
      </c>
      <c r="P6" s="15" t="s">
        <v>58</v>
      </c>
      <c r="Q6" s="15" t="s">
        <v>59</v>
      </c>
      <c r="R6" s="15" t="s">
        <v>60</v>
      </c>
      <c r="S6" s="14" t="inlineStr">
        <is>
          <t xml:space="preserve">09/06/2026</t>
        </is>
      </c>
      <c r="T6" s="14" t="inlineStr">
        <is>
          <t xml:space="preserve">26/06/2026</t>
        </is>
      </c>
      <c r="U6" s="15" t="inlineStr">
        <is>
          <t xml:space="preserve">Buy for own stay then rent. Prefer Hijauan Kiara + Trinity Pentamont (RM1.75m, Lvl 2, below mkt — keen to view). OPEN balcony only (dislike lanai). Budget ~RM1.8m.</t>
        </is>
      </c>
      <c r="V6" s="15" t="s">
        <v>64</v>
      </c>
    </row>
    <row r="7" ht="22.5" customHeight="1">
      <c r="A7" s="17" t="s">
        <v>69</v>
      </c>
      <c r="B7" s="18" t="s">
        <v>70</v>
      </c>
      <c r="C7" s="18" t="s">
        <v>71</v>
      </c>
      <c r="D7" s="17" t="s">
        <v>51</v>
      </c>
      <c r="E7" s="18" t="s">
        <v>72</v>
      </c>
      <c r="F7" s="18"/>
      <c r="G7" s="18" t="s">
        <v>6</v>
      </c>
      <c r="H7" s="18" t="s">
        <v>42</v>
      </c>
      <c r="I7" s="18" t="s">
        <v>73</v>
      </c>
      <c r="J7" s="18" t="s">
        <v>74</v>
      </c>
      <c r="K7" s="17" t="s">
        <v>75</v>
      </c>
      <c r="L7" s="18" t="s">
        <v>56</v>
      </c>
      <c r="M7" s="19">
        <v>4000.0</v>
      </c>
      <c r="N7" s="19"/>
      <c r="O7" s="17" t="s">
        <v>57</v>
      </c>
      <c r="P7" s="18" t="s">
        <v>58</v>
      </c>
      <c r="Q7" s="18"/>
      <c r="R7" s="18"/>
      <c r="S7" s="17"/>
      <c r="T7" s="17"/>
      <c r="U7" s="18" t="s">
        <v>76</v>
      </c>
      <c r="V7" s="18" t="s">
        <v>77</v>
      </c>
    </row>
    <row r="8">
      <c r="A8" s="17" t="s">
        <v>78</v>
      </c>
      <c r="B8" s="18" t="s">
        <v>79</v>
      </c>
      <c r="C8" s="18" t="s">
        <v>80</v>
      </c>
      <c r="D8" s="17" t="s">
        <v>27</v>
      </c>
      <c r="E8" s="18"/>
      <c r="F8" s="18" t="s">
        <v>81</v>
      </c>
      <c r="G8" s="18" t="s">
        <v>82</v>
      </c>
      <c r="H8" s="18" t="s">
        <v>83</v>
      </c>
      <c r="I8" s="18" t="s">
        <v>43</v>
      </c>
      <c r="J8" s="18" t="inlineStr">
        <is>
          <t xml:space="preserve">Nurture — not ready to buy yet</t>
        </is>
      </c>
      <c r="K8" s="17" t="s">
        <v>32</v>
      </c>
      <c r="L8" s="18" t="s">
        <v>84</v>
      </c>
      <c r="M8" s="19">
        <v>2000000.0</v>
      </c>
      <c r="N8" s="19"/>
      <c r="O8" s="17" t="s">
        <v>57</v>
      </c>
      <c r="P8" s="18" t="s">
        <v>58</v>
      </c>
      <c r="Q8" s="18"/>
      <c r="R8" s="18"/>
      <c r="S8" s="17"/>
      <c r="T8" s="17" t="inlineStr">
        <is>
          <t xml:space="preserve">31/07/2026</t>
        </is>
      </c>
      <c r="U8" s="18" t="s">
        <v>85</v>
      </c>
      <c r="V8" s="18" t="s">
        <v>86</v>
      </c>
    </row>
    <row r="9" ht="32.25" customHeight="1">
      <c r="A9" s="17" t="s">
        <v>87</v>
      </c>
      <c r="B9" s="18" t="s">
        <v>88</v>
      </c>
      <c r="C9" s="18" t="s">
        <v>89</v>
      </c>
      <c r="D9" s="17" t="s">
        <v>27</v>
      </c>
      <c r="E9" s="18"/>
      <c r="F9" s="18" t="s">
        <v>90</v>
      </c>
      <c r="G9" s="18" t="s">
        <v>82</v>
      </c>
      <c r="H9" s="18" t="s">
        <v>91</v>
      </c>
      <c r="I9" s="18" t="s">
        <v>43</v>
      </c>
      <c r="J9" s="18" t="s">
        <v>92</v>
      </c>
      <c r="K9" s="17" t="s">
        <v>32</v>
      </c>
      <c r="L9" s="18" t="s">
        <v>56</v>
      </c>
      <c r="M9" s="19">
        <v>2000000.0</v>
      </c>
      <c r="N9" s="19"/>
      <c r="O9" s="17" t="s">
        <v>57</v>
      </c>
      <c r="P9" s="18" t="s">
        <v>58</v>
      </c>
      <c r="Q9" s="18"/>
      <c r="R9" s="18"/>
      <c r="S9" s="17" t="s">
        <v>93</v>
      </c>
      <c r="T9" s="17"/>
      <c r="U9" s="18" t="s">
        <v>94</v>
      </c>
      <c r="V9" s="18" t="s">
        <v>86</v>
      </c>
    </row>
    <row r="10" ht="32.25" customHeight="1">
      <c r="A10" s="11" t="s">
        <v>95</v>
      </c>
      <c r="B10" s="12" t="s">
        <v>96</v>
      </c>
      <c r="C10" s="12" t="s">
        <v>97</v>
      </c>
      <c r="D10" s="11" t="s">
        <v>51</v>
      </c>
      <c r="E10" s="12" t="s">
        <v>98</v>
      </c>
      <c r="F10" s="12"/>
      <c r="G10" s="12"/>
      <c r="H10" s="12" t="s">
        <v>99</v>
      </c>
      <c r="I10" s="12" t="s">
        <v>43</v>
      </c>
      <c r="J10" s="12" t="s">
        <v>100</v>
      </c>
      <c r="K10" s="11" t="s">
        <v>32</v>
      </c>
      <c r="L10" s="12" t="s">
        <v>56</v>
      </c>
      <c r="M10" s="13">
        <v>4500000</v>
      </c>
      <c r="N10" s="13"/>
      <c r="O10" s="11" t="s">
        <v>57</v>
      </c>
      <c r="P10" s="12" t="s">
        <v>58</v>
      </c>
      <c r="Q10" s="12" t="s">
        <v>101</v>
      </c>
      <c r="R10" s="12" t="s">
        <v>102</v>
      </c>
      <c r="S10" s="20">
        <v>46179</v>
      </c>
      <c r="T10" s="20">
        <v>46183</v>
      </c>
      <c r="U10" s="12" t="inlineStr">
        <is>
          <t xml:space="preserve">Indian purchaser, MAX RM4.5m. AB-39-02 MK 10 — owner floor RM4.7m; Umesh quiet (likely declining at price). LOAN 70%. NEXT: source alternatives ~RM4.5m (MK 10/nearby); soft follow-up ~26/06.</t>
        </is>
      </c>
      <c r="V10" s="12" t="s">
        <v>104</v>
      </c>
    </row>
    <row r="11" ht="22.5" customHeight="1">
      <c r="A11" s="73" t="inlineStr">
        <is>
          <t>L059</t>
        </is>
      </c>
      <c r="B11" s="74" t="inlineStr">
        <is>
          <t>Ms Norain</t>
        </is>
      </c>
      <c r="C11" s="74" t="inlineStr">
        <is>
          <t>Malaysian</t>
        </is>
      </c>
      <c r="D11" s="73" t="inlineStr">
        <is>
          <t>Malay, English</t>
        </is>
      </c>
      <c r="E11" s="74" t="inlineStr">
        <is>
          <t>+60162138240</t>
        </is>
      </c>
      <c r="F11" s="74"/>
      <c r="G11" s="74" t="inlineStr">
        <is>
          <t>WhatsApp</t>
        </is>
      </c>
      <c r="H11" s="74"/>
      <c r="I11" s="74" t="inlineStr">
        <is>
          <t>Owner</t>
        </is>
      </c>
      <c r="J11" s="74" t="inlineStr">
        <is>
          <t xml:space="preserve">Master Listing — sourcing tenant</t>
        </is>
      </c>
      <c r="K11" s="73" t="inlineStr">
        <is>
          <t>Hot 🔥</t>
        </is>
      </c>
      <c r="L11" s="74" t="inlineStr">
        <is>
          <t>Mont Kiara</t>
        </is>
      </c>
      <c r="M11" s="73" t="inlineStr">
        <is>
          <t xml:space="preserve">7,500 /mo</t>
        </is>
      </c>
      <c r="N11" s="73"/>
      <c r="O11" s="73"/>
      <c r="P11" s="74" t="inlineStr">
        <is>
          <t>Condo</t>
        </is>
      </c>
      <c r="Q11" s="75" t="inlineStr">
        <is>
          <t>Astrea Mont Kiara</t>
        </is>
      </c>
      <c r="R11" s="75" t="inlineStr">
        <is>
          <t>12-07</t>
        </is>
      </c>
      <c r="S11" s="76"/>
      <c r="T11" s="76" t="inlineStr">
        <is>
          <t xml:space="preserve">12/06/2026</t>
        </is>
      </c>
      <c r="U11" s="75" t="inlineStr">
        <is>
          <t xml:space="preserve">Owner — Astrea MK 12-07, master rental listing @ RM7,500/mo. 10/06 showing to Ms Yoon (Korean) — not keen; sourcing another tenant.</t>
        </is>
      </c>
      <c r="V11" s="75" t="inlineStr">
        <is>
          <t>Owner / Rental listing</t>
        </is>
      </c>
    </row>
    <row r="12" ht="22.5" customHeight="1">
      <c r="A12" s="73" t="inlineStr">
        <is>
          <t xml:space="preserve">L061</t>
        </is>
      </c>
      <c r="B12" s="74" t="inlineStr">
        <is>
          <t xml:space="preserve">Nas (Kenangan Coffee)</t>
        </is>
      </c>
      <c r="C12" s="74" t="inlineStr">
        <is>
          <t xml:space="preserve">Malaysian</t>
        </is>
      </c>
      <c r="D12" s="73" t="inlineStr">
        <is>
          <t xml:space="preserve">Malay, English</t>
        </is>
      </c>
      <c r="E12" s="74" t="inlineStr">
        <is>
          <t xml:space="preserve">+60194707037</t>
        </is>
      </c>
      <c r="F12" s="74"/>
      <c r="G12" s="74" t="inlineStr">
        <is>
          <t xml:space="preserve">WhatsApp</t>
        </is>
      </c>
      <c r="H12" s="74" t="inlineStr">
        <is>
          <t xml:space="preserve">iProperty — KLTS Setapak 51-G-1 (Patrick Chow)</t>
        </is>
      </c>
      <c r="I12" s="74" t="inlineStr">
        <is>
          <t xml:space="preserve">Tenant</t>
        </is>
      </c>
      <c r="J12" s="74" t="inlineStr">
        <is>
          <t xml:space="preserve">Offer letter signed — deposit pending</t>
        </is>
      </c>
      <c r="K12" s="73" t="inlineStr">
        <is>
          <t xml:space="preserve">Hot 🔥</t>
        </is>
      </c>
      <c r="L12" s="74" t="inlineStr">
        <is>
          <t xml:space="preserve">Setapak</t>
        </is>
      </c>
      <c r="M12" s="73" t="inlineStr">
        <is>
          <t xml:space="preserve">8,500–9,000 /mo</t>
        </is>
      </c>
      <c r="N12" s="73"/>
      <c r="O12" s="73"/>
      <c r="P12" s="74" t="inlineStr">
        <is>
          <t xml:space="preserve">Commercial Shoplot</t>
        </is>
      </c>
      <c r="Q12" s="75" t="inlineStr">
        <is>
          <t xml:space="preserve">KLTS Setapak 51-G-1 (Patrick Chow)</t>
        </is>
      </c>
      <c r="R12" s="75" t="inlineStr">
        <is>
          <t xml:space="preserve">51-G-1</t>
        </is>
      </c>
      <c r="S12" s="76" t="inlineStr">
        <is>
          <t xml:space="preserve">09/06/2026</t>
        </is>
      </c>
      <c r="T12" s="76" t="inlineStr">
        <is>
          <t xml:space="preserve">10/06/2026</t>
        </is>
      </c>
      <c r="U12" s="75" t="inlineStr">
        <is>
          <t xml:space="preserve">Kenangan Coffee (F&amp;B). Tenant for Patrick Chow's KLTS Setapak 51-G-1 @ RM8,500(yr1)/RM9,000(yr2-3), 3+3yrs, as-is basis. Offer placed; gap on free reno (Nas 1mth vs Patrick 15 days).</t>
        </is>
      </c>
      <c r="V12" s="75" t="inlineStr">
        <is>
          <t xml:space="preserve">F&amp;B Tenant / Shoplot</t>
        </is>
      </c>
    </row>
    <row r="13" ht="22.5" customHeight="1">
      <c r="A13" s="73" t="inlineStr">
        <is>
          <t xml:space="preserve">L062</t>
        </is>
      </c>
      <c r="B13" s="74" t="inlineStr">
        <is>
          <t xml:space="preserve">Stephanie</t>
        </is>
      </c>
      <c r="C13" s="74" t="inlineStr">
        <is>
          <t xml:space="preserve">Malaysian (husband Japanese)</t>
        </is>
      </c>
      <c r="D13" s="73" t="inlineStr">
        <is>
          <t xml:space="preserve">English, Chinese, Cantonese</t>
        </is>
      </c>
      <c r="E13" s="74" t="inlineStr">
        <is>
          <t xml:space="preserve">+60162212997</t>
        </is>
      </c>
      <c r="F13" s="74"/>
      <c r="G13" s="74" t="inlineStr">
        <is>
          <t xml:space="preserve">WhatsApp</t>
        </is>
      </c>
      <c r="H13" s="74" t="inlineStr">
        <is>
          <t xml:space="preserve">iProperty</t>
        </is>
      </c>
      <c r="I13" s="74" t="inlineStr">
        <is>
          <t xml:space="preserve">Tenant</t>
        </is>
      </c>
      <c r="J13" s="74" t="inlineStr">
        <is>
          <t xml:space="preserve">Viewed Astrea 20-01 (1,828sf 3BR)</t>
        </is>
      </c>
      <c r="K13" s="73" t="inlineStr">
        <is>
          <t xml:space="preserve">Hot 🔥</t>
        </is>
      </c>
      <c r="L13" s="74" t="inlineStr">
        <is>
          <t xml:space="preserve">Mont Kiara</t>
        </is>
      </c>
      <c r="M13" s="73" t="inlineStr">
        <is>
          <t xml:space="preserve">6,000 /mo</t>
        </is>
      </c>
      <c r="N13" s="73" t="inlineStr">
        <is>
          <t xml:space="preserve">1,828 sqft</t>
        </is>
      </c>
      <c r="O13" s="73" t="inlineStr">
        <is>
          <t xml:space="preserve">3</t>
        </is>
      </c>
      <c r="P13" s="74" t="inlineStr">
        <is>
          <t xml:space="preserve">Condo</t>
        </is>
      </c>
      <c r="Q13" s="75" t="inlineStr">
        <is>
          <t xml:space="preserve">Astrea Mont Kiara</t>
        </is>
      </c>
      <c r="R13" s="75" t="inlineStr">
        <is>
          <t xml:space="preserve">20-01</t>
        </is>
      </c>
      <c r="S13" s="76"/>
      <c r="T13" s="76" t="inlineStr">
        <is>
          <t xml:space="preserve">26/06/2026</t>
        </is>
      </c>
      <c r="U13" s="75" t="inlineStr">
        <is>
          <t xml:space="preserve">Tenant. Viewed Astrea 20-01 (1,828sf, 3BR). Malaysian, husband Japanese (2 pax staying). Budget RM6,000/mo.</t>
        </is>
      </c>
      <c r="V13" s="75" t="inlineStr">
        <is>
          <t xml:space="preserve">Local Chinese &amp; Japanese Tenant</t>
        </is>
      </c>
    </row>
    <row r="14" ht="22.5" customHeight="1">
      <c r="A14" s="73" t="inlineStr">
        <is>
          <t xml:space="preserve">L063</t>
        </is>
      </c>
      <c r="B14" s="74" t="inlineStr">
        <is>
          <t xml:space="preserve">Aaron</t>
        </is>
      </c>
      <c r="C14" s="74" t="inlineStr">
        <is>
          <t xml:space="preserve">Malaysian</t>
        </is>
      </c>
      <c r="D14" s="73" t="inlineStr">
        <is>
          <t xml:space="preserve">English</t>
        </is>
      </c>
      <c r="E14" s="74" t="inlineStr">
        <is>
          <t xml:space="preserve">+60122354261</t>
        </is>
      </c>
      <c r="F14" s="74"/>
      <c r="G14" s="74" t="inlineStr">
        <is>
          <t xml:space="preserve">WhatsApp</t>
        </is>
      </c>
      <c r="H14" s="74" t="inlineStr">
        <is>
          <t xml:space="preserve">iProperty</t>
        </is>
      </c>
      <c r="I14" s="74" t="inlineStr">
        <is>
          <t xml:space="preserve">Tenant (also owner A-29-02 Allevia)</t>
        </is>
      </c>
      <c r="J14" s="74" t="inlineStr">
        <is>
          <t xml:space="preserve">Matched — viewing Allevia B-29-01 (arranging)</t>
        </is>
      </c>
      <c r="K14" s="73" t="inlineStr">
        <is>
          <t xml:space="preserve">Hot 🔥</t>
        </is>
      </c>
      <c r="L14" s="74" t="inlineStr">
        <is>
          <t xml:space="preserve">Mont Kiara</t>
        </is>
      </c>
      <c r="M14" s="73" t="inlineStr">
        <is>
          <t xml:space="preserve">8,000–12,000 /mo</t>
        </is>
      </c>
      <c r="N14" s="73"/>
      <c r="O14" s="73" t="inlineStr">
        <is>
          <t xml:space="preserve">3</t>
        </is>
      </c>
      <c r="P14" s="74" t="inlineStr">
        <is>
          <t xml:space="preserve">Condo</t>
        </is>
      </c>
      <c r="Q14" s="75" t="inlineStr">
        <is>
          <t xml:space="preserve">Allevia</t>
        </is>
      </c>
      <c r="R14" s="75" t="inlineStr">
        <is>
          <t xml:space="preserve">owns A-29-02</t>
        </is>
      </c>
      <c r="S14" s="76"/>
      <c r="T14" s="76" t="inlineStr">
        <is>
          <t xml:space="preserve">11/06/2026</t>
        </is>
      </c>
      <c r="U14" s="75" t="inlineStr">
        <is>
          <t xml:space="preserve">Tenant for Allevia Tower A 3BR @ RM8–12k/mo. MATCHED to Sharavana's Allevia B-29-01 (RM9,500/mo) — arranging viewing. Owns A-29-02 but owner-occupied (own stay) — NOT for listing. Local Chinese.</t>
        </is>
      </c>
      <c r="V14" s="75" t="inlineStr">
        <is>
          <t xml:space="preserve">Local Chinese Tenant / Owner</t>
        </is>
      </c>
    </row>
    <row r="15" ht="22.5" customHeight="1">
      <c r="A15" s="73" t="inlineStr">
        <is>
          <t xml:space="preserve">L064</t>
        </is>
      </c>
      <c r="B15" s="74" t="inlineStr">
        <is>
          <t xml:space="preserve">Eleena</t>
        </is>
      </c>
      <c r="C15" s="74" t="inlineStr">
        <is>
          <t xml:space="preserve">Malaysian</t>
        </is>
      </c>
      <c r="D15" s="73" t="inlineStr">
        <is>
          <t xml:space="preserve">Malay, English</t>
        </is>
      </c>
      <c r="E15" s="74" t="inlineStr">
        <is>
          <t xml:space="preserve">+60179554304</t>
        </is>
      </c>
      <c r="F15" s="74"/>
      <c r="G15" s="74" t="inlineStr">
        <is>
          <t xml:space="preserve">WhatsApp</t>
        </is>
      </c>
      <c r="H15" s="74" t="inlineStr">
        <is>
          <t xml:space="preserve">iProperty</t>
        </is>
      </c>
      <c r="I15" s="74" t="inlineStr">
        <is>
          <t xml:space="preserve">Tenant</t>
        </is>
      </c>
      <c r="J15" s="74" t="inlineStr">
        <is>
          <t xml:space="preserve">Viewing arranged 16/06 (2 options)</t>
        </is>
      </c>
      <c r="K15" s="73" t="inlineStr">
        <is>
          <t xml:space="preserve">Hot 🔥</t>
        </is>
      </c>
      <c r="L15" s="74" t="inlineStr">
        <is>
          <t xml:space="preserve">Mont Kiara</t>
        </is>
      </c>
      <c r="M15" s="73" t="inlineStr">
        <is>
          <t xml:space="preserve">2,500–3,000 /mo</t>
        </is>
      </c>
      <c r="N15" s="73" t="inlineStr">
        <is>
          <t xml:space="preserve">500–800 sqft</t>
        </is>
      </c>
      <c r="O15" s="73"/>
      <c r="P15" s="74" t="inlineStr">
        <is>
          <t xml:space="preserve">Office lot</t>
        </is>
      </c>
      <c r="Q15" s="75" t="inlineStr">
        <is>
          <t xml:space="preserve">Plaza Mont Kiara</t>
        </is>
      </c>
      <c r="R15" s="75" t="inlineStr">
        <is>
          <t xml:space="preserve">Tower A</t>
        </is>
      </c>
      <c r="S15" s="76"/>
      <c r="T15" s="76" t="inlineStr">
        <is>
          <t xml:space="preserve">26/06/2026</t>
        </is>
      </c>
      <c r="U15" s="75" t="inlineStr">
        <is>
          <t xml:space="preserve">Local Malay law firm — rent 1 office lot, Plaza MK. Viewing 16/06 2pm: Block B 750sf RM3,000 &amp; Block E 800sf RM2,800 (both PF). 2yr, move-in Jul/Aug 2026.</t>
        </is>
      </c>
      <c r="V15" s="75" t="inlineStr">
        <is>
          <t xml:space="preserve">Office Tenant / Law Firm</t>
        </is>
      </c>
    </row>
    <row r="16" ht="22.5" customHeight="1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</row>
  </sheetData>
  <mergeCells count="2">
    <mergeCell ref="A1:V1"/>
    <mergeCell ref="A2:V2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4.0"/>
    <col customWidth="1" min="11" max="11" width="10.0"/>
    <col customWidth="1" min="12" max="12" width="18.0"/>
    <col customWidth="1" min="13" max="13" width="13.0"/>
    <col customWidth="1" min="14" max="14" width="6.0"/>
    <col customWidth="1" min="15" max="15" width="18.0"/>
    <col customWidth="1" min="16" max="16" width="20.0"/>
    <col customWidth="1" min="17" max="21" width="12.0"/>
    <col customWidth="1" min="22" max="22" width="32.0"/>
    <col customWidth="1" min="23" max="23" width="22.0"/>
    <col customWidth="1" min="24" max="24" width="14.0"/>
    <col customWidth="1" min="25" max="26" width="8.71"/>
  </cols>
  <sheetData>
    <row r="1" ht="37.5" customHeight="1">
      <c r="A1" s="1" t="s">
        <v>117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3"/>
    </row>
    <row r="2" ht="16.5" customHeight="1">
      <c r="A2" s="4" t="s">
        <v>118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119</v>
      </c>
      <c r="N3" s="7" t="s">
        <v>16</v>
      </c>
      <c r="O3" s="7" t="s">
        <v>17</v>
      </c>
      <c r="P3" s="7" t="s">
        <v>18</v>
      </c>
      <c r="Q3" s="7" t="s">
        <v>19</v>
      </c>
      <c r="R3" s="7" t="s">
        <v>120</v>
      </c>
      <c r="S3" s="7" t="s">
        <v>121</v>
      </c>
      <c r="T3" s="7" t="s">
        <v>20</v>
      </c>
      <c r="U3" s="7" t="s">
        <v>21</v>
      </c>
      <c r="V3" s="7" t="s">
        <v>22</v>
      </c>
      <c r="W3" s="7" t="s">
        <v>122</v>
      </c>
      <c r="X3" s="7" t="s">
        <v>23</v>
      </c>
    </row>
    <row r="4" ht="22.5" customHeight="1">
      <c r="A4" s="21" t="s">
        <v>123</v>
      </c>
      <c r="B4" s="22" t="s">
        <v>124</v>
      </c>
      <c r="C4" s="22" t="s">
        <v>50</v>
      </c>
      <c r="D4" s="21" t="s">
        <v>51</v>
      </c>
      <c r="E4" s="22" t="s">
        <v>125</v>
      </c>
      <c r="F4" s="22"/>
      <c r="G4" s="22" t="s">
        <v>6</v>
      </c>
      <c r="H4" s="22" t="s">
        <v>126</v>
      </c>
      <c r="I4" s="22" t="s">
        <v>73</v>
      </c>
      <c r="J4" s="22" t="s">
        <v>109</v>
      </c>
      <c r="K4" s="21" t="s">
        <v>32</v>
      </c>
      <c r="L4" s="22" t="s">
        <v>127</v>
      </c>
      <c r="M4" s="21" t="s">
        <v>128</v>
      </c>
      <c r="N4" s="21" t="s">
        <v>129</v>
      </c>
      <c r="O4" s="22" t="s">
        <v>130</v>
      </c>
      <c r="P4" s="22" t="s">
        <v>131</v>
      </c>
      <c r="Q4" s="22" t="s">
        <v>132</v>
      </c>
      <c r="R4" s="21" t="s">
        <v>133</v>
      </c>
      <c r="S4" s="21" t="s">
        <v>134</v>
      </c>
      <c r="T4" s="21" t="s">
        <v>61</v>
      </c>
      <c r="U4" s="21"/>
      <c r="V4" s="22" t="s">
        <v>135</v>
      </c>
      <c r="W4" s="26" t="s">
        <v>136</v>
      </c>
      <c r="X4" s="22"/>
    </row>
    <row r="5" ht="32.25" customHeight="1">
      <c r="A5" s="21" t="s">
        <v>137</v>
      </c>
      <c r="B5" s="22" t="s">
        <v>138</v>
      </c>
      <c r="C5" s="22" t="s">
        <v>26</v>
      </c>
      <c r="D5" s="21" t="s">
        <v>27</v>
      </c>
      <c r="E5" s="22" t="s">
        <v>139</v>
      </c>
      <c r="F5" s="22"/>
      <c r="G5" s="22" t="s">
        <v>6</v>
      </c>
      <c r="H5" s="22" t="s">
        <v>126</v>
      </c>
      <c r="I5" s="22" t="s">
        <v>73</v>
      </c>
      <c r="J5" s="22" t="s">
        <v>109</v>
      </c>
      <c r="K5" s="21" t="s">
        <v>32</v>
      </c>
      <c r="L5" s="22" t="s">
        <v>140</v>
      </c>
      <c r="M5" s="21" t="s">
        <v>141</v>
      </c>
      <c r="N5" s="21" t="s">
        <v>57</v>
      </c>
      <c r="O5" s="22" t="s">
        <v>58</v>
      </c>
      <c r="P5" s="22" t="s">
        <v>142</v>
      </c>
      <c r="Q5" s="22" t="s">
        <v>143</v>
      </c>
      <c r="R5" s="21" t="s">
        <v>144</v>
      </c>
      <c r="S5" s="21" t="s">
        <v>145</v>
      </c>
      <c r="T5" s="21" t="s">
        <v>146</v>
      </c>
      <c r="U5" s="21" t="s">
        <v>147</v>
      </c>
      <c r="V5" s="22" t="s">
        <v>148</v>
      </c>
      <c r="W5" s="26" t="s">
        <v>149</v>
      </c>
      <c r="X5" s="22"/>
    </row>
    <row r="6" ht="22.5" customHeight="1">
      <c r="A6" s="21" t="s">
        <v>150</v>
      </c>
      <c r="B6" s="22" t="s">
        <v>151</v>
      </c>
      <c r="C6" s="22" t="s">
        <v>26</v>
      </c>
      <c r="D6" s="21" t="s">
        <v>27</v>
      </c>
      <c r="E6" s="22" t="s">
        <v>152</v>
      </c>
      <c r="F6" s="22"/>
      <c r="G6" s="22" t="s">
        <v>6</v>
      </c>
      <c r="H6" s="22" t="s">
        <v>153</v>
      </c>
      <c r="I6" s="22" t="s">
        <v>30</v>
      </c>
      <c r="J6" s="22" t="s">
        <v>109</v>
      </c>
      <c r="K6" s="21" t="s">
        <v>32</v>
      </c>
      <c r="L6" s="22" t="s">
        <v>56</v>
      </c>
      <c r="M6" s="21" t="s">
        <v>154</v>
      </c>
      <c r="N6" s="21" t="s">
        <v>57</v>
      </c>
      <c r="O6" s="22" t="s">
        <v>58</v>
      </c>
      <c r="P6" s="22" t="s">
        <v>155</v>
      </c>
      <c r="Q6" s="22" t="s">
        <v>156</v>
      </c>
      <c r="R6" s="21" t="s">
        <v>157</v>
      </c>
      <c r="S6" s="21" t="s">
        <v>158</v>
      </c>
      <c r="T6" s="21" t="s">
        <v>159</v>
      </c>
      <c r="U6" s="21" t="s">
        <v>160</v>
      </c>
      <c r="V6" s="22" t="s">
        <v>161</v>
      </c>
      <c r="W6" s="22"/>
      <c r="X6" s="22"/>
    </row>
    <row r="7">
      <c r="A7" s="21" t="s">
        <v>162</v>
      </c>
      <c r="B7" s="22" t="s">
        <v>163</v>
      </c>
      <c r="C7" s="22" t="s">
        <v>164</v>
      </c>
      <c r="D7" s="21" t="s">
        <v>51</v>
      </c>
      <c r="E7" s="22" t="s">
        <v>165</v>
      </c>
      <c r="F7" s="22"/>
      <c r="G7" s="22" t="s">
        <v>6</v>
      </c>
      <c r="H7" s="22" t="s">
        <v>166</v>
      </c>
      <c r="I7" s="22" t="s">
        <v>73</v>
      </c>
      <c r="J7" s="22" t="s">
        <v>109</v>
      </c>
      <c r="K7" s="21" t="s">
        <v>32</v>
      </c>
      <c r="L7" s="22" t="s">
        <v>56</v>
      </c>
      <c r="M7" s="21" t="s">
        <v>167</v>
      </c>
      <c r="N7" s="21" t="s">
        <v>168</v>
      </c>
      <c r="O7" s="22" t="s">
        <v>58</v>
      </c>
      <c r="P7" s="22" t="s">
        <v>169</v>
      </c>
      <c r="Q7" s="22" t="s">
        <v>170</v>
      </c>
      <c r="R7" s="21" t="s">
        <v>133</v>
      </c>
      <c r="S7" s="21" t="s">
        <v>171</v>
      </c>
      <c r="T7" s="21" t="s">
        <v>172</v>
      </c>
      <c r="U7" s="21"/>
      <c r="V7" s="22" t="s">
        <v>173</v>
      </c>
      <c r="W7" s="22"/>
      <c r="X7" s="22"/>
    </row>
    <row r="8">
      <c r="A8" s="21" t="s">
        <v>174</v>
      </c>
      <c r="B8" s="22" t="s">
        <v>175</v>
      </c>
      <c r="C8" s="22" t="s">
        <v>26</v>
      </c>
      <c r="D8" s="21" t="s">
        <v>27</v>
      </c>
      <c r="E8" s="22" t="s">
        <v>176</v>
      </c>
      <c r="F8" s="22"/>
      <c r="G8" s="22" t="s">
        <v>6</v>
      </c>
      <c r="H8" s="22" t="s">
        <v>126</v>
      </c>
      <c r="I8" s="22" t="s">
        <v>43</v>
      </c>
      <c r="J8" s="22" t="s">
        <v>177</v>
      </c>
      <c r="K8" s="21" t="s">
        <v>178</v>
      </c>
      <c r="L8" s="22" t="s">
        <v>179</v>
      </c>
      <c r="M8" s="21" t="s">
        <v>180</v>
      </c>
      <c r="N8" s="21" t="s">
        <v>57</v>
      </c>
      <c r="O8" s="22" t="s">
        <v>181</v>
      </c>
      <c r="P8" s="22" t="s">
        <v>182</v>
      </c>
      <c r="Q8" s="22" t="s">
        <v>183</v>
      </c>
      <c r="R8" s="21"/>
      <c r="S8" s="21"/>
      <c r="T8" s="21" t="s">
        <v>184</v>
      </c>
      <c r="U8" s="21"/>
      <c r="V8" s="22"/>
      <c r="W8" s="22"/>
      <c r="X8" s="22"/>
    </row>
    <row r="9">
      <c r="A9" s="27" t="s">
        <v>185</v>
      </c>
      <c r="B9" s="28" t="s">
        <v>186</v>
      </c>
      <c r="C9" s="28" t="s">
        <v>187</v>
      </c>
      <c r="D9" s="27" t="s">
        <v>51</v>
      </c>
      <c r="E9" s="28" t="s">
        <v>188</v>
      </c>
      <c r="F9" s="28"/>
      <c r="G9" s="28" t="s">
        <v>6</v>
      </c>
      <c r="H9" s="28" t="s">
        <v>189</v>
      </c>
      <c r="I9" s="28" t="s">
        <v>73</v>
      </c>
      <c r="J9" s="28" t="s">
        <v>190</v>
      </c>
      <c r="K9" s="27" t="s">
        <v>178</v>
      </c>
      <c r="L9" s="28" t="s">
        <v>191</v>
      </c>
      <c r="M9" s="27" t="s">
        <v>192</v>
      </c>
      <c r="N9" s="27" t="s">
        <v>168</v>
      </c>
      <c r="O9" s="28" t="s">
        <v>181</v>
      </c>
      <c r="P9" s="28" t="s">
        <v>193</v>
      </c>
      <c r="Q9" s="28" t="s">
        <v>194</v>
      </c>
      <c r="R9" s="27" t="s">
        <v>144</v>
      </c>
      <c r="S9" s="27" t="s">
        <v>145</v>
      </c>
      <c r="T9" s="27" t="s">
        <v>195</v>
      </c>
      <c r="U9" s="27" t="s">
        <v>196</v>
      </c>
      <c r="V9" s="28" t="s">
        <v>197</v>
      </c>
      <c r="W9" s="28"/>
      <c r="X9" s="28"/>
    </row>
    <row r="10">
      <c r="A10" s="21" t="s">
        <v>198</v>
      </c>
      <c r="B10" s="22" t="s">
        <v>199</v>
      </c>
      <c r="C10" s="22" t="s">
        <v>200</v>
      </c>
      <c r="D10" s="21" t="s">
        <v>51</v>
      </c>
      <c r="E10" s="22" t="s">
        <v>201</v>
      </c>
      <c r="F10" s="22"/>
      <c r="G10" s="22" t="s">
        <v>6</v>
      </c>
      <c r="H10" s="22" t="s">
        <v>126</v>
      </c>
      <c r="I10" s="22" t="s">
        <v>30</v>
      </c>
      <c r="J10" s="22" t="s">
        <v>109</v>
      </c>
      <c r="K10" s="21" t="s">
        <v>32</v>
      </c>
      <c r="L10" s="22" t="s">
        <v>56</v>
      </c>
      <c r="M10" s="21" t="s">
        <v>202</v>
      </c>
      <c r="N10" s="21" t="s">
        <v>57</v>
      </c>
      <c r="O10" s="22" t="s">
        <v>58</v>
      </c>
      <c r="P10" s="22" t="s">
        <v>155</v>
      </c>
      <c r="Q10" s="22" t="s">
        <v>203</v>
      </c>
      <c r="R10" s="21" t="s">
        <v>204</v>
      </c>
      <c r="S10" s="21" t="s">
        <v>205</v>
      </c>
      <c r="T10" s="21"/>
      <c r="U10" s="21"/>
      <c r="V10" s="22"/>
      <c r="W10" s="22"/>
      <c r="X10" s="22"/>
    </row>
    <row r="11" ht="22.5" customHeight="1">
      <c r="A11" s="21" t="s">
        <v>206</v>
      </c>
      <c r="B11" s="22" t="s">
        <v>207</v>
      </c>
      <c r="C11" s="22" t="s">
        <v>26</v>
      </c>
      <c r="D11" s="21" t="s">
        <v>51</v>
      </c>
      <c r="E11" s="22" t="s">
        <v>208</v>
      </c>
      <c r="F11" s="22"/>
      <c r="G11" s="22" t="s">
        <v>6</v>
      </c>
      <c r="H11" s="22" t="s">
        <v>29</v>
      </c>
      <c r="I11" s="22" t="s">
        <v>73</v>
      </c>
      <c r="J11" s="22" t="s">
        <v>109</v>
      </c>
      <c r="K11" s="21" t="s">
        <v>32</v>
      </c>
      <c r="L11" s="22" t="s">
        <v>56</v>
      </c>
      <c r="M11" s="21" t="s">
        <v>202</v>
      </c>
      <c r="N11" s="21" t="s">
        <v>57</v>
      </c>
      <c r="O11" s="22" t="s">
        <v>58</v>
      </c>
      <c r="P11" s="22" t="s">
        <v>155</v>
      </c>
      <c r="Q11" s="22" t="s">
        <v>203</v>
      </c>
      <c r="R11" s="21" t="s">
        <v>204</v>
      </c>
      <c r="S11" s="21" t="s">
        <v>205</v>
      </c>
      <c r="T11" s="21" t="s">
        <v>61</v>
      </c>
      <c r="U11" s="21" t="s">
        <v>209</v>
      </c>
      <c r="V11" s="22" t="s">
        <v>210</v>
      </c>
      <c r="W11" s="22"/>
      <c r="X11" s="22"/>
    </row>
    <row r="12" ht="22.5" customHeight="1">
      <c r="A12" s="21" t="s">
        <v>211</v>
      </c>
      <c r="B12" s="22" t="s">
        <v>212</v>
      </c>
      <c r="C12" s="22" t="s">
        <v>213</v>
      </c>
      <c r="D12" s="21" t="s">
        <v>27</v>
      </c>
      <c r="E12" s="22"/>
      <c r="F12" s="22" t="s">
        <v>214</v>
      </c>
      <c r="G12" s="22" t="s">
        <v>82</v>
      </c>
      <c r="H12" s="22" t="s">
        <v>215</v>
      </c>
      <c r="I12" s="22" t="s">
        <v>43</v>
      </c>
      <c r="J12" s="22" t="s">
        <v>177</v>
      </c>
      <c r="K12" s="21" t="s">
        <v>178</v>
      </c>
      <c r="L12" s="22" t="s">
        <v>216</v>
      </c>
      <c r="M12" s="21" t="s">
        <v>217</v>
      </c>
      <c r="N12" s="21" t="s">
        <v>129</v>
      </c>
      <c r="O12" s="22" t="s">
        <v>58</v>
      </c>
      <c r="P12" s="22" t="s">
        <v>218</v>
      </c>
      <c r="Q12" s="22" t="s">
        <v>219</v>
      </c>
      <c r="R12" s="21"/>
      <c r="S12" s="21"/>
      <c r="T12" s="21"/>
      <c r="U12" s="21" t="s">
        <v>220</v>
      </c>
      <c r="V12" s="22" t="s">
        <v>221</v>
      </c>
      <c r="W12" s="22"/>
      <c r="X12" s="22" t="s">
        <v>222</v>
      </c>
    </row>
    <row r="13" ht="22.5" customHeight="1">
      <c r="A13" s="21" t="s">
        <v>223</v>
      </c>
      <c r="B13" s="22" t="s">
        <v>224</v>
      </c>
      <c r="C13" s="22" t="s">
        <v>225</v>
      </c>
      <c r="D13" s="21" t="s">
        <v>27</v>
      </c>
      <c r="E13" s="22"/>
      <c r="F13" s="22" t="s">
        <v>226</v>
      </c>
      <c r="G13" s="22" t="s">
        <v>82</v>
      </c>
      <c r="H13" s="22" t="s">
        <v>215</v>
      </c>
      <c r="I13" s="22" t="s">
        <v>43</v>
      </c>
      <c r="J13" s="22" t="s">
        <v>177</v>
      </c>
      <c r="K13" s="21" t="s">
        <v>178</v>
      </c>
      <c r="L13" s="22" t="s">
        <v>216</v>
      </c>
      <c r="M13" s="21" t="s">
        <v>217</v>
      </c>
      <c r="N13" s="21" t="s">
        <v>129</v>
      </c>
      <c r="O13" s="22" t="s">
        <v>58</v>
      </c>
      <c r="P13" s="22" t="s">
        <v>218</v>
      </c>
      <c r="Q13" s="22" t="s">
        <v>219</v>
      </c>
      <c r="R13" s="21"/>
      <c r="S13" s="21"/>
      <c r="T13" s="21"/>
      <c r="U13" s="21" t="s">
        <v>220</v>
      </c>
      <c r="V13" s="22" t="s">
        <v>221</v>
      </c>
      <c r="W13" s="22"/>
      <c r="X13" s="22" t="s">
        <v>222</v>
      </c>
    </row>
    <row r="14">
      <c r="A14" s="27" t="s">
        <v>227</v>
      </c>
      <c r="B14" s="28" t="s">
        <v>228</v>
      </c>
      <c r="C14" s="28" t="s">
        <v>229</v>
      </c>
      <c r="D14" s="27" t="s">
        <v>27</v>
      </c>
      <c r="E14" s="28"/>
      <c r="F14" s="28" t="s">
        <v>230</v>
      </c>
      <c r="G14" s="28" t="s">
        <v>82</v>
      </c>
      <c r="H14" s="28" t="s">
        <v>231</v>
      </c>
      <c r="I14" s="28" t="s">
        <v>73</v>
      </c>
      <c r="J14" s="28" t="s">
        <v>190</v>
      </c>
      <c r="K14" s="27" t="s">
        <v>32</v>
      </c>
      <c r="L14" s="28" t="s">
        <v>110</v>
      </c>
      <c r="M14" s="27" t="s">
        <v>232</v>
      </c>
      <c r="N14" s="27" t="s">
        <v>57</v>
      </c>
      <c r="O14" s="28" t="s">
        <v>58</v>
      </c>
      <c r="P14" s="28" t="s">
        <v>233</v>
      </c>
      <c r="Q14" s="28" t="s">
        <v>234</v>
      </c>
      <c r="R14" s="27" t="s">
        <v>235</v>
      </c>
      <c r="S14" s="27" t="s">
        <v>236</v>
      </c>
      <c r="T14" s="27" t="s">
        <v>93</v>
      </c>
      <c r="U14" s="27" t="s">
        <v>220</v>
      </c>
      <c r="V14" s="28" t="s">
        <v>221</v>
      </c>
      <c r="W14" s="28"/>
      <c r="X14" s="28"/>
    </row>
    <row r="15">
      <c r="A15" s="21" t="s">
        <v>237</v>
      </c>
      <c r="B15" s="22" t="s">
        <v>238</v>
      </c>
      <c r="C15" s="22" t="s">
        <v>26</v>
      </c>
      <c r="D15" s="21" t="s">
        <v>27</v>
      </c>
      <c r="E15" s="22" t="s">
        <v>239</v>
      </c>
      <c r="F15" s="22"/>
      <c r="G15" s="22" t="s">
        <v>6</v>
      </c>
      <c r="H15" s="22" t="s">
        <v>153</v>
      </c>
      <c r="I15" s="22" t="s">
        <v>30</v>
      </c>
      <c r="J15" s="22" t="s">
        <v>240</v>
      </c>
      <c r="K15" s="21" t="s">
        <v>178</v>
      </c>
      <c r="L15" s="22" t="s">
        <v>56</v>
      </c>
      <c r="M15" s="21" t="s">
        <v>241</v>
      </c>
      <c r="N15" s="21" t="s">
        <v>57</v>
      </c>
      <c r="O15" s="22" t="s">
        <v>58</v>
      </c>
      <c r="P15" s="22" t="s">
        <v>155</v>
      </c>
      <c r="Q15" s="22" t="s">
        <v>242</v>
      </c>
      <c r="R15" s="21"/>
      <c r="S15" s="21"/>
      <c r="T15" s="21" t="s">
        <v>243</v>
      </c>
      <c r="U15" s="21" t="s">
        <v>220</v>
      </c>
      <c r="V15" s="22" t="s">
        <v>221</v>
      </c>
      <c r="W15" s="22"/>
      <c r="X15" s="22"/>
    </row>
    <row r="16" ht="22.5" customHeight="1">
      <c r="A16" s="27" t="s">
        <v>244</v>
      </c>
      <c r="B16" s="28" t="s">
        <v>245</v>
      </c>
      <c r="C16" s="28" t="s">
        <v>26</v>
      </c>
      <c r="D16" s="27" t="s">
        <v>51</v>
      </c>
      <c r="E16" s="28" t="s">
        <v>246</v>
      </c>
      <c r="F16" s="28"/>
      <c r="G16" s="28" t="s">
        <v>6</v>
      </c>
      <c r="H16" s="28" t="s">
        <v>247</v>
      </c>
      <c r="I16" s="28" t="s">
        <v>73</v>
      </c>
      <c r="J16" s="28" t="s">
        <v>190</v>
      </c>
      <c r="K16" s="27" t="s">
        <v>178</v>
      </c>
      <c r="L16" s="28" t="s">
        <v>248</v>
      </c>
      <c r="M16" s="27" t="s">
        <v>249</v>
      </c>
      <c r="N16" s="27" t="s">
        <v>168</v>
      </c>
      <c r="O16" s="28" t="s">
        <v>58</v>
      </c>
      <c r="P16" s="28" t="s">
        <v>250</v>
      </c>
      <c r="Q16" s="28" t="s">
        <v>251</v>
      </c>
      <c r="R16" s="27" t="s">
        <v>252</v>
      </c>
      <c r="S16" s="27" t="s">
        <v>253</v>
      </c>
      <c r="T16" s="27" t="s">
        <v>254</v>
      </c>
      <c r="U16" s="27" t="s">
        <v>255</v>
      </c>
      <c r="V16" s="28" t="s">
        <v>256</v>
      </c>
      <c r="W16" s="28"/>
      <c r="X16" s="28"/>
    </row>
    <row r="17">
      <c r="A17" s="21" t="s">
        <v>257</v>
      </c>
      <c r="B17" s="22" t="s">
        <v>258</v>
      </c>
      <c r="C17" s="22" t="s">
        <v>229</v>
      </c>
      <c r="D17" s="21" t="s">
        <v>27</v>
      </c>
      <c r="E17" s="22" t="s">
        <v>259</v>
      </c>
      <c r="F17" s="22" t="s">
        <v>260</v>
      </c>
      <c r="G17" s="22" t="s">
        <v>82</v>
      </c>
      <c r="H17" s="22" t="s">
        <v>247</v>
      </c>
      <c r="I17" s="22" t="s">
        <v>73</v>
      </c>
      <c r="J17" s="22" t="s">
        <v>109</v>
      </c>
      <c r="K17" s="21" t="s">
        <v>32</v>
      </c>
      <c r="L17" s="22" t="s">
        <v>56</v>
      </c>
      <c r="M17" s="21" t="s">
        <v>261</v>
      </c>
      <c r="N17" s="21" t="s">
        <v>168</v>
      </c>
      <c r="O17" s="22" t="s">
        <v>58</v>
      </c>
      <c r="P17" s="22" t="s">
        <v>262</v>
      </c>
      <c r="Q17" s="22" t="s">
        <v>263</v>
      </c>
      <c r="R17" s="21" t="s">
        <v>264</v>
      </c>
      <c r="S17" s="21" t="s">
        <v>236</v>
      </c>
      <c r="T17" s="21" t="s">
        <v>265</v>
      </c>
      <c r="U17" s="21" t="s">
        <v>220</v>
      </c>
      <c r="V17" s="22" t="s">
        <v>221</v>
      </c>
      <c r="W17" s="22"/>
      <c r="X17" s="22"/>
    </row>
    <row r="18">
      <c r="A18" s="21" t="s">
        <v>266</v>
      </c>
      <c r="B18" s="22" t="s">
        <v>267</v>
      </c>
      <c r="C18" s="22" t="s">
        <v>26</v>
      </c>
      <c r="D18" s="21" t="s">
        <v>27</v>
      </c>
      <c r="E18" s="22" t="s">
        <v>268</v>
      </c>
      <c r="F18" s="22"/>
      <c r="G18" s="22" t="s">
        <v>6</v>
      </c>
      <c r="H18" s="22" t="s">
        <v>153</v>
      </c>
      <c r="I18" s="22" t="s">
        <v>30</v>
      </c>
      <c r="J18" s="22" t="s">
        <v>109</v>
      </c>
      <c r="K18" s="21" t="s">
        <v>178</v>
      </c>
      <c r="L18" s="22" t="s">
        <v>56</v>
      </c>
      <c r="M18" s="21" t="s">
        <v>269</v>
      </c>
      <c r="N18" s="21" t="s">
        <v>57</v>
      </c>
      <c r="O18" s="22" t="s">
        <v>58</v>
      </c>
      <c r="P18" s="22" t="s">
        <v>155</v>
      </c>
      <c r="Q18" s="22" t="s">
        <v>270</v>
      </c>
      <c r="R18" s="21" t="s">
        <v>159</v>
      </c>
      <c r="S18" s="21" t="s">
        <v>271</v>
      </c>
      <c r="T18" s="21" t="s">
        <v>272</v>
      </c>
      <c r="U18" s="21" t="s">
        <v>220</v>
      </c>
      <c r="V18" s="22" t="s">
        <v>221</v>
      </c>
      <c r="W18" s="22"/>
      <c r="X18" s="22"/>
    </row>
    <row r="19">
      <c r="A19" s="21" t="s">
        <v>273</v>
      </c>
      <c r="B19" s="22" t="s">
        <v>274</v>
      </c>
      <c r="C19" s="22" t="s">
        <v>50</v>
      </c>
      <c r="D19" s="21" t="s">
        <v>51</v>
      </c>
      <c r="E19" s="22" t="s">
        <v>275</v>
      </c>
      <c r="F19" s="22"/>
      <c r="G19" s="22" t="s">
        <v>6</v>
      </c>
      <c r="H19" s="22" t="s">
        <v>276</v>
      </c>
      <c r="I19" s="22" t="s">
        <v>73</v>
      </c>
      <c r="J19" s="22" t="s">
        <v>109</v>
      </c>
      <c r="K19" s="21" t="s">
        <v>178</v>
      </c>
      <c r="L19" s="22" t="s">
        <v>56</v>
      </c>
      <c r="M19" s="21" t="s">
        <v>277</v>
      </c>
      <c r="N19" s="21" t="s">
        <v>57</v>
      </c>
      <c r="O19" s="22" t="s">
        <v>58</v>
      </c>
      <c r="P19" s="22" t="s">
        <v>278</v>
      </c>
      <c r="Q19" s="22" t="s">
        <v>279</v>
      </c>
      <c r="R19" s="21" t="s">
        <v>280</v>
      </c>
      <c r="S19" s="21" t="s">
        <v>281</v>
      </c>
      <c r="T19" s="21" t="s">
        <v>282</v>
      </c>
      <c r="U19" s="21" t="s">
        <v>160</v>
      </c>
      <c r="V19" s="22" t="s">
        <v>197</v>
      </c>
      <c r="W19" s="22"/>
      <c r="X19" s="22"/>
    </row>
    <row r="20">
      <c r="A20" s="21" t="s">
        <v>283</v>
      </c>
      <c r="B20" s="22" t="s">
        <v>284</v>
      </c>
      <c r="C20" s="22" t="s">
        <v>50</v>
      </c>
      <c r="D20" s="21" t="s">
        <v>51</v>
      </c>
      <c r="E20" s="22" t="s">
        <v>285</v>
      </c>
      <c r="F20" s="22"/>
      <c r="G20" s="22" t="s">
        <v>6</v>
      </c>
      <c r="H20" s="22" t="s">
        <v>276</v>
      </c>
      <c r="I20" s="22" t="s">
        <v>73</v>
      </c>
      <c r="J20" s="22" t="s">
        <v>109</v>
      </c>
      <c r="K20" s="21" t="s">
        <v>178</v>
      </c>
      <c r="L20" s="22" t="s">
        <v>56</v>
      </c>
      <c r="M20" s="21" t="s">
        <v>277</v>
      </c>
      <c r="N20" s="21" t="s">
        <v>57</v>
      </c>
      <c r="O20" s="22" t="s">
        <v>58</v>
      </c>
      <c r="P20" s="22" t="s">
        <v>278</v>
      </c>
      <c r="Q20" s="22" t="s">
        <v>279</v>
      </c>
      <c r="R20" s="21" t="s">
        <v>280</v>
      </c>
      <c r="S20" s="21" t="s">
        <v>281</v>
      </c>
      <c r="T20" s="21" t="s">
        <v>282</v>
      </c>
      <c r="U20" s="21" t="s">
        <v>160</v>
      </c>
      <c r="V20" s="22" t="s">
        <v>197</v>
      </c>
      <c r="W20" s="22"/>
      <c r="X20" s="22"/>
    </row>
    <row r="21" ht="15.75" customHeight="1">
      <c r="A21" s="21" t="s">
        <v>286</v>
      </c>
      <c r="B21" s="22" t="s">
        <v>287</v>
      </c>
      <c r="C21" s="22" t="s">
        <v>26</v>
      </c>
      <c r="D21" s="21" t="s">
        <v>51</v>
      </c>
      <c r="E21" s="22" t="s">
        <v>288</v>
      </c>
      <c r="F21" s="22"/>
      <c r="G21" s="22" t="s">
        <v>6</v>
      </c>
      <c r="H21" s="22" t="s">
        <v>247</v>
      </c>
      <c r="I21" s="22" t="s">
        <v>30</v>
      </c>
      <c r="J21" s="22" t="s">
        <v>109</v>
      </c>
      <c r="K21" s="21" t="s">
        <v>178</v>
      </c>
      <c r="L21" s="22" t="s">
        <v>289</v>
      </c>
      <c r="M21" s="21" t="s">
        <v>249</v>
      </c>
      <c r="N21" s="21" t="s">
        <v>129</v>
      </c>
      <c r="O21" s="22" t="s">
        <v>290</v>
      </c>
      <c r="P21" s="22" t="s">
        <v>291</v>
      </c>
      <c r="Q21" s="22" t="s">
        <v>292</v>
      </c>
      <c r="R21" s="21" t="s">
        <v>293</v>
      </c>
      <c r="S21" s="21" t="s">
        <v>294</v>
      </c>
      <c r="T21" s="21" t="s">
        <v>295</v>
      </c>
      <c r="U21" s="21"/>
      <c r="V21" s="22"/>
      <c r="W21" s="22"/>
      <c r="X21" s="22"/>
    </row>
    <row r="22" ht="32.25" customHeight="1">
      <c r="A22" s="21" t="s">
        <v>296</v>
      </c>
      <c r="B22" s="22" t="s">
        <v>297</v>
      </c>
      <c r="C22" s="22" t="s">
        <v>26</v>
      </c>
      <c r="D22" s="21" t="s">
        <v>51</v>
      </c>
      <c r="E22" s="22" t="s">
        <v>298</v>
      </c>
      <c r="F22" s="22"/>
      <c r="G22" s="22" t="s">
        <v>6</v>
      </c>
      <c r="H22" s="22" t="s">
        <v>166</v>
      </c>
      <c r="I22" s="22" t="s">
        <v>73</v>
      </c>
      <c r="J22" s="22" t="s">
        <v>109</v>
      </c>
      <c r="K22" s="21" t="s">
        <v>178</v>
      </c>
      <c r="L22" s="22" t="s">
        <v>56</v>
      </c>
      <c r="M22" s="21" t="s">
        <v>299</v>
      </c>
      <c r="N22" s="21" t="s">
        <v>168</v>
      </c>
      <c r="O22" s="22" t="s">
        <v>181</v>
      </c>
      <c r="P22" s="22" t="s">
        <v>300</v>
      </c>
      <c r="Q22" s="22" t="s">
        <v>301</v>
      </c>
      <c r="R22" s="21" t="s">
        <v>302</v>
      </c>
      <c r="S22" s="21" t="s">
        <v>303</v>
      </c>
      <c r="T22" s="21" t="s">
        <v>304</v>
      </c>
      <c r="U22" s="21" t="s">
        <v>220</v>
      </c>
      <c r="V22" s="22" t="s">
        <v>221</v>
      </c>
      <c r="W22" s="26" t="s">
        <v>305</v>
      </c>
      <c r="X22" s="22" t="s">
        <v>306</v>
      </c>
    </row>
    <row r="23" ht="22.5" customHeight="1">
      <c r="A23" s="27" t="s">
        <v>307</v>
      </c>
      <c r="B23" s="28" t="s">
        <v>308</v>
      </c>
      <c r="C23" s="28" t="s">
        <v>309</v>
      </c>
      <c r="D23" s="27" t="s">
        <v>51</v>
      </c>
      <c r="E23" s="28" t="s">
        <v>310</v>
      </c>
      <c r="F23" s="28"/>
      <c r="G23" s="28" t="s">
        <v>6</v>
      </c>
      <c r="H23" s="28" t="s">
        <v>311</v>
      </c>
      <c r="I23" s="28" t="s">
        <v>73</v>
      </c>
      <c r="J23" s="28" t="s">
        <v>190</v>
      </c>
      <c r="K23" s="27" t="s">
        <v>178</v>
      </c>
      <c r="L23" s="28" t="s">
        <v>56</v>
      </c>
      <c r="M23" s="27" t="s">
        <v>312</v>
      </c>
      <c r="N23" s="27" t="s">
        <v>57</v>
      </c>
      <c r="O23" s="28" t="s">
        <v>58</v>
      </c>
      <c r="P23" s="28" t="s">
        <v>313</v>
      </c>
      <c r="Q23" s="28" t="s">
        <v>314</v>
      </c>
      <c r="R23" s="27" t="s">
        <v>315</v>
      </c>
      <c r="S23" s="27" t="s">
        <v>316</v>
      </c>
      <c r="T23" s="27" t="s">
        <v>317</v>
      </c>
      <c r="U23" s="27" t="s">
        <v>160</v>
      </c>
      <c r="V23" s="28" t="s">
        <v>197</v>
      </c>
      <c r="W23" s="28"/>
      <c r="X23" s="28"/>
    </row>
    <row r="24" ht="22.5" customHeight="1">
      <c r="A24" s="27" t="s">
        <v>318</v>
      </c>
      <c r="B24" s="28" t="s">
        <v>319</v>
      </c>
      <c r="C24" s="28" t="s">
        <v>320</v>
      </c>
      <c r="D24" s="27" t="s">
        <v>51</v>
      </c>
      <c r="E24" s="28" t="s">
        <v>321</v>
      </c>
      <c r="F24" s="28"/>
      <c r="G24" s="28" t="s">
        <v>6</v>
      </c>
      <c r="H24" s="28" t="s">
        <v>311</v>
      </c>
      <c r="I24" s="28" t="s">
        <v>73</v>
      </c>
      <c r="J24" s="28" t="s">
        <v>190</v>
      </c>
      <c r="K24" s="27" t="s">
        <v>178</v>
      </c>
      <c r="L24" s="28" t="s">
        <v>56</v>
      </c>
      <c r="M24" s="27" t="s">
        <v>312</v>
      </c>
      <c r="N24" s="27" t="s">
        <v>57</v>
      </c>
      <c r="O24" s="28" t="s">
        <v>58</v>
      </c>
      <c r="P24" s="28" t="s">
        <v>313</v>
      </c>
      <c r="Q24" s="28" t="s">
        <v>314</v>
      </c>
      <c r="R24" s="27" t="s">
        <v>315</v>
      </c>
      <c r="S24" s="27" t="s">
        <v>316</v>
      </c>
      <c r="T24" s="27" t="s">
        <v>317</v>
      </c>
      <c r="U24" s="27" t="s">
        <v>160</v>
      </c>
      <c r="V24" s="28" t="s">
        <v>197</v>
      </c>
      <c r="W24" s="28"/>
      <c r="X24" s="28"/>
    </row>
    <row r="25" ht="22.5" customHeight="1">
      <c r="A25" s="21" t="s">
        <v>322</v>
      </c>
      <c r="B25" s="22" t="s">
        <v>323</v>
      </c>
      <c r="C25" s="22" t="s">
        <v>26</v>
      </c>
      <c r="D25" s="21" t="s">
        <v>27</v>
      </c>
      <c r="E25" s="22" t="s">
        <v>324</v>
      </c>
      <c r="F25" s="22"/>
      <c r="G25" s="22" t="s">
        <v>6</v>
      </c>
      <c r="H25" s="22" t="s">
        <v>311</v>
      </c>
      <c r="I25" s="22" t="s">
        <v>54</v>
      </c>
      <c r="J25" s="22" t="s">
        <v>325</v>
      </c>
      <c r="K25" s="21" t="s">
        <v>178</v>
      </c>
      <c r="L25" s="22" t="s">
        <v>56</v>
      </c>
      <c r="M25" s="21" t="s">
        <v>326</v>
      </c>
      <c r="N25" s="21" t="s">
        <v>129</v>
      </c>
      <c r="O25" s="22" t="s">
        <v>58</v>
      </c>
      <c r="P25" s="22" t="s">
        <v>278</v>
      </c>
      <c r="Q25" s="22" t="s">
        <v>327</v>
      </c>
      <c r="R25" s="21"/>
      <c r="S25" s="21"/>
      <c r="T25" s="21"/>
      <c r="U25" s="21" t="s">
        <v>220</v>
      </c>
      <c r="V25" s="22" t="s">
        <v>221</v>
      </c>
      <c r="W25" s="22"/>
      <c r="X25" s="22"/>
    </row>
    <row r="26" ht="22.5" customHeight="1">
      <c r="A26" s="21" t="s">
        <v>328</v>
      </c>
      <c r="B26" s="22" t="s">
        <v>329</v>
      </c>
      <c r="C26" s="22" t="s">
        <v>50</v>
      </c>
      <c r="D26" s="21" t="s">
        <v>51</v>
      </c>
      <c r="E26" s="22" t="s">
        <v>330</v>
      </c>
      <c r="F26" s="22"/>
      <c r="G26" s="22" t="s">
        <v>6</v>
      </c>
      <c r="H26" s="22" t="s">
        <v>311</v>
      </c>
      <c r="I26" s="22" t="s">
        <v>54</v>
      </c>
      <c r="J26" s="22" t="s">
        <v>325</v>
      </c>
      <c r="K26" s="21" t="s">
        <v>178</v>
      </c>
      <c r="L26" s="22" t="s">
        <v>56</v>
      </c>
      <c r="M26" s="21" t="s">
        <v>326</v>
      </c>
      <c r="N26" s="21" t="s">
        <v>129</v>
      </c>
      <c r="O26" s="22" t="s">
        <v>58</v>
      </c>
      <c r="P26" s="22" t="s">
        <v>278</v>
      </c>
      <c r="Q26" s="22" t="s">
        <v>327</v>
      </c>
      <c r="R26" s="21"/>
      <c r="S26" s="21"/>
      <c r="T26" s="21"/>
      <c r="U26" s="21" t="s">
        <v>220</v>
      </c>
      <c r="V26" s="22" t="s">
        <v>221</v>
      </c>
      <c r="W26" s="22"/>
      <c r="X26" s="22"/>
    </row>
    <row r="27" ht="15.75" customHeight="1">
      <c r="A27" s="21" t="s">
        <v>331</v>
      </c>
      <c r="B27" s="22" t="s">
        <v>332</v>
      </c>
      <c r="C27" s="22" t="s">
        <v>89</v>
      </c>
      <c r="D27" s="21" t="s">
        <v>27</v>
      </c>
      <c r="E27" s="22"/>
      <c r="F27" s="22" t="s">
        <v>333</v>
      </c>
      <c r="G27" s="22" t="s">
        <v>82</v>
      </c>
      <c r="H27" s="22" t="s">
        <v>91</v>
      </c>
      <c r="I27" s="22" t="s">
        <v>43</v>
      </c>
      <c r="J27" s="22" t="s">
        <v>177</v>
      </c>
      <c r="K27" s="21" t="s">
        <v>32</v>
      </c>
      <c r="L27" s="22" t="s">
        <v>56</v>
      </c>
      <c r="M27" s="21" t="s">
        <v>334</v>
      </c>
      <c r="N27" s="21" t="s">
        <v>57</v>
      </c>
      <c r="O27" s="22" t="s">
        <v>58</v>
      </c>
      <c r="P27" s="22" t="s">
        <v>335</v>
      </c>
      <c r="Q27" s="22" t="s">
        <v>336</v>
      </c>
      <c r="R27" s="21"/>
      <c r="S27" s="21"/>
      <c r="T27" s="21"/>
      <c r="U27" s="21" t="s">
        <v>220</v>
      </c>
      <c r="V27" s="22" t="s">
        <v>221</v>
      </c>
      <c r="W27" s="26" t="s">
        <v>337</v>
      </c>
      <c r="X27" s="22"/>
    </row>
    <row r="28" ht="15.75" customHeight="1">
      <c r="A28" s="27" t="s">
        <v>338</v>
      </c>
      <c r="B28" s="28" t="s">
        <v>339</v>
      </c>
      <c r="C28" s="28" t="s">
        <v>89</v>
      </c>
      <c r="D28" s="27" t="s">
        <v>27</v>
      </c>
      <c r="E28" s="28"/>
      <c r="F28" s="28" t="s">
        <v>340</v>
      </c>
      <c r="G28" s="28" t="s">
        <v>82</v>
      </c>
      <c r="H28" s="28" t="s">
        <v>341</v>
      </c>
      <c r="I28" s="28" t="s">
        <v>73</v>
      </c>
      <c r="J28" s="28" t="s">
        <v>190</v>
      </c>
      <c r="K28" s="27" t="s">
        <v>178</v>
      </c>
      <c r="L28" s="28" t="s">
        <v>110</v>
      </c>
      <c r="M28" s="27" t="s">
        <v>342</v>
      </c>
      <c r="N28" s="27" t="s">
        <v>57</v>
      </c>
      <c r="O28" s="28" t="s">
        <v>58</v>
      </c>
      <c r="P28" s="28" t="s">
        <v>343</v>
      </c>
      <c r="Q28" s="28" t="s">
        <v>344</v>
      </c>
      <c r="R28" s="27" t="s">
        <v>345</v>
      </c>
      <c r="S28" s="27" t="s">
        <v>346</v>
      </c>
      <c r="T28" s="27" t="s">
        <v>347</v>
      </c>
      <c r="U28" s="27" t="s">
        <v>348</v>
      </c>
      <c r="V28" s="28" t="s">
        <v>349</v>
      </c>
      <c r="W28" s="28"/>
      <c r="X28" s="28"/>
    </row>
    <row r="29" ht="15.75" customHeight="1">
      <c r="A29" s="21" t="s">
        <v>350</v>
      </c>
      <c r="B29" s="22" t="s">
        <v>351</v>
      </c>
      <c r="C29" s="22" t="s">
        <v>229</v>
      </c>
      <c r="D29" s="21" t="s">
        <v>27</v>
      </c>
      <c r="E29" s="22" t="s">
        <v>352</v>
      </c>
      <c r="F29" s="22" t="s">
        <v>353</v>
      </c>
      <c r="G29" s="22" t="s">
        <v>82</v>
      </c>
      <c r="H29" s="22" t="s">
        <v>341</v>
      </c>
      <c r="I29" s="22" t="s">
        <v>73</v>
      </c>
      <c r="J29" s="22" t="s">
        <v>109</v>
      </c>
      <c r="K29" s="21" t="s">
        <v>178</v>
      </c>
      <c r="L29" s="22" t="s">
        <v>110</v>
      </c>
      <c r="M29" s="21" t="s">
        <v>354</v>
      </c>
      <c r="N29" s="21" t="s">
        <v>57</v>
      </c>
      <c r="O29" s="22" t="s">
        <v>58</v>
      </c>
      <c r="P29" s="22" t="s">
        <v>343</v>
      </c>
      <c r="Q29" s="22" t="s">
        <v>355</v>
      </c>
      <c r="R29" s="21" t="s">
        <v>356</v>
      </c>
      <c r="S29" s="21" t="s">
        <v>357</v>
      </c>
      <c r="T29" s="21"/>
      <c r="U29" s="21" t="s">
        <v>348</v>
      </c>
      <c r="V29" s="22" t="s">
        <v>349</v>
      </c>
      <c r="W29" s="22"/>
      <c r="X29" s="22"/>
    </row>
    <row r="30" ht="22.5" customHeight="1">
      <c r="A30" s="21" t="s">
        <v>358</v>
      </c>
      <c r="B30" s="22" t="s">
        <v>359</v>
      </c>
      <c r="C30" s="22" t="s">
        <v>360</v>
      </c>
      <c r="D30" s="21" t="s">
        <v>51</v>
      </c>
      <c r="E30" s="22" t="s">
        <v>361</v>
      </c>
      <c r="F30" s="22"/>
      <c r="G30" s="22" t="s">
        <v>6</v>
      </c>
      <c r="H30" s="22" t="s">
        <v>311</v>
      </c>
      <c r="I30" s="22" t="s">
        <v>73</v>
      </c>
      <c r="J30" s="22" t="inlineStr">
        <is>
          <t xml:space="preserve">Moved Out</t>
        </is>
      </c>
      <c r="K30" s="21" t="s">
        <v>178</v>
      </c>
      <c r="L30" s="22" t="s">
        <v>56</v>
      </c>
      <c r="M30" s="21" t="s">
        <v>362</v>
      </c>
      <c r="N30" s="21" t="s">
        <v>363</v>
      </c>
      <c r="O30" s="22" t="s">
        <v>58</v>
      </c>
      <c r="P30" s="22" t="s">
        <v>364</v>
      </c>
      <c r="Q30" s="22" t="s">
        <v>365</v>
      </c>
      <c r="R30" s="21" t="s">
        <v>366</v>
      </c>
      <c r="S30" s="21" t="s">
        <v>367</v>
      </c>
      <c r="T30" s="21" t="s">
        <v>367</v>
      </c>
      <c r="U30" s="21"/>
      <c r="V30" s="22" t="inlineStr">
        <is>
          <t xml:space="preserve">Moved out to Hyatt Regency Hostel (lease ended 23/05/2026). No renewal.</t>
        </is>
      </c>
      <c r="W30" s="22"/>
      <c r="X30" s="22"/>
    </row>
    <row r="31" ht="15.75" customHeight="1">
      <c r="A31" s="27" t="s">
        <v>369</v>
      </c>
      <c r="B31" s="28" t="s">
        <v>370</v>
      </c>
      <c r="C31" s="28" t="s">
        <v>371</v>
      </c>
      <c r="D31" s="27" t="s">
        <v>27</v>
      </c>
      <c r="E31" s="28" t="s">
        <v>372</v>
      </c>
      <c r="F31" s="28"/>
      <c r="G31" s="28" t="s">
        <v>6</v>
      </c>
      <c r="H31" s="28" t="s">
        <v>247</v>
      </c>
      <c r="I31" s="28" t="s">
        <v>73</v>
      </c>
      <c r="J31" s="28" t="s">
        <v>190</v>
      </c>
      <c r="K31" s="27" t="s">
        <v>178</v>
      </c>
      <c r="L31" s="28" t="s">
        <v>373</v>
      </c>
      <c r="M31" s="27" t="s">
        <v>374</v>
      </c>
      <c r="N31" s="27" t="s">
        <v>57</v>
      </c>
      <c r="O31" s="28" t="s">
        <v>58</v>
      </c>
      <c r="P31" s="28" t="s">
        <v>375</v>
      </c>
      <c r="Q31" s="28" t="s">
        <v>376</v>
      </c>
      <c r="R31" s="27" t="s">
        <v>356</v>
      </c>
      <c r="S31" s="27" t="s">
        <v>357</v>
      </c>
      <c r="T31" s="27" t="s">
        <v>295</v>
      </c>
      <c r="U31" s="27" t="s">
        <v>348</v>
      </c>
      <c r="V31" s="28" t="s">
        <v>349</v>
      </c>
      <c r="W31" s="28"/>
      <c r="X31" s="28"/>
    </row>
    <row r="32" ht="15.75" customHeight="1">
      <c r="A32" s="21" t="s">
        <v>377</v>
      </c>
      <c r="B32" s="22" t="s">
        <v>378</v>
      </c>
      <c r="C32" s="22" t="s">
        <v>26</v>
      </c>
      <c r="D32" s="21" t="s">
        <v>27</v>
      </c>
      <c r="E32" s="22" t="s">
        <v>379</v>
      </c>
      <c r="F32" s="22"/>
      <c r="G32" s="22" t="s">
        <v>6</v>
      </c>
      <c r="H32" s="22" t="s">
        <v>380</v>
      </c>
      <c r="I32" s="22" t="s">
        <v>381</v>
      </c>
      <c r="J32" s="22" t="s">
        <v>177</v>
      </c>
      <c r="K32" s="21" t="s">
        <v>32</v>
      </c>
      <c r="L32" s="22" t="s">
        <v>56</v>
      </c>
      <c r="M32" s="21" t="s">
        <v>382</v>
      </c>
      <c r="N32" s="21" t="s">
        <v>363</v>
      </c>
      <c r="O32" s="22" t="s">
        <v>58</v>
      </c>
      <c r="P32" s="22" t="s">
        <v>262</v>
      </c>
      <c r="Q32" s="22" t="s">
        <v>383</v>
      </c>
      <c r="R32" s="21" t="s">
        <v>356</v>
      </c>
      <c r="S32" s="21" t="s">
        <v>357</v>
      </c>
      <c r="T32" s="21" t="s">
        <v>384</v>
      </c>
      <c r="U32" s="21" t="s">
        <v>348</v>
      </c>
      <c r="V32" s="22" t="s">
        <v>349</v>
      </c>
      <c r="W32" s="22"/>
      <c r="X32" s="22"/>
    </row>
    <row r="33" ht="22.5" customHeight="1">
      <c r="A33" s="21" t="s">
        <v>385</v>
      </c>
      <c r="B33" s="22" t="s">
        <v>386</v>
      </c>
      <c r="C33" s="22" t="s">
        <v>26</v>
      </c>
      <c r="D33" s="21" t="s">
        <v>27</v>
      </c>
      <c r="E33" s="22" t="s">
        <v>387</v>
      </c>
      <c r="F33" s="22"/>
      <c r="G33" s="22" t="s">
        <v>6</v>
      </c>
      <c r="H33" s="22" t="s">
        <v>153</v>
      </c>
      <c r="I33" s="22" t="s">
        <v>30</v>
      </c>
      <c r="J33" s="22" t="s">
        <v>109</v>
      </c>
      <c r="K33" s="21" t="s">
        <v>32</v>
      </c>
      <c r="L33" s="22" t="s">
        <v>56</v>
      </c>
      <c r="M33" s="21" t="s">
        <v>154</v>
      </c>
      <c r="N33" s="21" t="s">
        <v>57</v>
      </c>
      <c r="O33" s="22" t="s">
        <v>58</v>
      </c>
      <c r="P33" s="22" t="s">
        <v>155</v>
      </c>
      <c r="Q33" s="22" t="s">
        <v>388</v>
      </c>
      <c r="R33" s="21" t="s">
        <v>389</v>
      </c>
      <c r="S33" s="21" t="s">
        <v>390</v>
      </c>
      <c r="T33" s="21" t="s">
        <v>391</v>
      </c>
      <c r="U33" s="21" t="s">
        <v>392</v>
      </c>
      <c r="V33" s="22" t="s">
        <v>393</v>
      </c>
      <c r="W33" s="22"/>
      <c r="X33" s="22"/>
    </row>
    <row r="34" ht="32.25" customHeight="1">
      <c r="A34" s="21" t="s">
        <v>394</v>
      </c>
      <c r="B34" s="22" t="s">
        <v>395</v>
      </c>
      <c r="C34" s="22" t="s">
        <v>26</v>
      </c>
      <c r="D34" s="21" t="s">
        <v>51</v>
      </c>
      <c r="E34" s="22" t="s">
        <v>396</v>
      </c>
      <c r="F34" s="22"/>
      <c r="G34" s="22" t="s">
        <v>6</v>
      </c>
      <c r="H34" s="22" t="s">
        <v>153</v>
      </c>
      <c r="I34" s="22" t="s">
        <v>30</v>
      </c>
      <c r="J34" s="22" t="s">
        <v>109</v>
      </c>
      <c r="K34" s="21" t="s">
        <v>32</v>
      </c>
      <c r="L34" s="22" t="s">
        <v>56</v>
      </c>
      <c r="M34" s="21" t="s">
        <v>277</v>
      </c>
      <c r="N34" s="21" t="s">
        <v>57</v>
      </c>
      <c r="O34" s="22" t="s">
        <v>58</v>
      </c>
      <c r="P34" s="22" t="s">
        <v>397</v>
      </c>
      <c r="Q34" s="22" t="s">
        <v>398</v>
      </c>
      <c r="R34" s="21" t="inlineStr">
        <is>
          <t xml:space="preserve">15/06/2026</t>
        </is>
      </c>
      <c r="S34" s="21" t="s">
        <v>400</v>
      </c>
      <c r="T34" s="21" t="s">
        <v>391</v>
      </c>
      <c r="U34" s="21" t="s">
        <v>401</v>
      </c>
      <c r="V34" s="22" t="s">
        <v>402</v>
      </c>
      <c r="W34" s="22"/>
      <c r="X34" s="22" t="s">
        <v>403</v>
      </c>
    </row>
    <row r="35" ht="15.75" customHeight="1">
      <c r="A35" s="29" t="s">
        <v>404</v>
      </c>
      <c r="B35" s="30" t="s">
        <v>405</v>
      </c>
      <c r="C35" s="30" t="s">
        <v>406</v>
      </c>
      <c r="D35" s="29" t="s">
        <v>51</v>
      </c>
      <c r="E35" s="30" t="s">
        <v>407</v>
      </c>
      <c r="F35" s="30"/>
      <c r="G35" s="30" t="s">
        <v>6</v>
      </c>
      <c r="H35" s="30" t="s">
        <v>408</v>
      </c>
      <c r="I35" s="30" t="s">
        <v>73</v>
      </c>
      <c r="J35" s="30" t="s">
        <v>409</v>
      </c>
      <c r="K35" s="29" t="s">
        <v>178</v>
      </c>
      <c r="L35" s="30" t="s">
        <v>56</v>
      </c>
      <c r="M35" s="29" t="s">
        <v>410</v>
      </c>
      <c r="N35" s="29" t="s">
        <v>57</v>
      </c>
      <c r="O35" s="30" t="s">
        <v>58</v>
      </c>
      <c r="P35" s="30" t="s">
        <v>397</v>
      </c>
      <c r="Q35" s="30" t="s">
        <v>398</v>
      </c>
      <c r="R35" s="29" t="s">
        <v>411</v>
      </c>
      <c r="S35" s="29" t="s">
        <v>390</v>
      </c>
      <c r="T35" s="29" t="s">
        <v>391</v>
      </c>
      <c r="U35" s="29"/>
      <c r="V35" s="30" t="s">
        <v>412</v>
      </c>
      <c r="W35" s="30"/>
      <c r="X35" s="30"/>
    </row>
    <row r="36" ht="15.75" customHeight="1">
      <c r="A36" s="21" t="s">
        <v>413</v>
      </c>
      <c r="B36" s="22" t="s">
        <v>414</v>
      </c>
      <c r="C36" s="22" t="s">
        <v>26</v>
      </c>
      <c r="D36" s="21" t="s">
        <v>51</v>
      </c>
      <c r="E36" s="22" t="s">
        <v>415</v>
      </c>
      <c r="F36" s="22"/>
      <c r="G36" s="22" t="s">
        <v>6</v>
      </c>
      <c r="H36" s="22" t="s">
        <v>153</v>
      </c>
      <c r="I36" s="22" t="s">
        <v>30</v>
      </c>
      <c r="J36" s="22" t="s">
        <v>109</v>
      </c>
      <c r="K36" s="21" t="s">
        <v>32</v>
      </c>
      <c r="L36" s="22" t="s">
        <v>56</v>
      </c>
      <c r="M36" s="21" t="s">
        <v>416</v>
      </c>
      <c r="N36" s="21" t="s">
        <v>57</v>
      </c>
      <c r="O36" s="22" t="s">
        <v>58</v>
      </c>
      <c r="P36" s="22" t="s">
        <v>397</v>
      </c>
      <c r="Q36" s="22" t="s">
        <v>417</v>
      </c>
      <c r="R36" s="21" t="s">
        <v>418</v>
      </c>
      <c r="S36" s="21" t="s">
        <v>419</v>
      </c>
      <c r="T36" s="21" t="s">
        <v>392</v>
      </c>
      <c r="U36" s="21" t="s">
        <v>420</v>
      </c>
      <c r="V36" s="22" t="s">
        <v>421</v>
      </c>
      <c r="W36" s="22"/>
      <c r="X36" s="22"/>
    </row>
    <row r="37" ht="32.25" customHeight="1">
      <c r="A37" s="21" t="s">
        <v>422</v>
      </c>
      <c r="B37" s="22" t="s">
        <v>423</v>
      </c>
      <c r="C37" s="22" t="s">
        <v>26</v>
      </c>
      <c r="D37" s="21" t="s">
        <v>27</v>
      </c>
      <c r="E37" s="22" t="s">
        <v>424</v>
      </c>
      <c r="F37" s="22"/>
      <c r="G37" s="22" t="s">
        <v>6</v>
      </c>
      <c r="H37" s="22" t="s">
        <v>42</v>
      </c>
      <c r="I37" s="22" t="s">
        <v>54</v>
      </c>
      <c r="J37" s="22" t="s">
        <v>109</v>
      </c>
      <c r="K37" s="21" t="s">
        <v>75</v>
      </c>
      <c r="L37" s="22" t="s">
        <v>110</v>
      </c>
      <c r="M37" s="21" t="s">
        <v>425</v>
      </c>
      <c r="N37" s="21" t="s">
        <v>57</v>
      </c>
      <c r="O37" s="22" t="s">
        <v>426</v>
      </c>
      <c r="P37" s="22" t="s">
        <v>427</v>
      </c>
      <c r="Q37" s="22"/>
      <c r="R37" s="21" t="s">
        <v>144</v>
      </c>
      <c r="S37" s="21" t="s">
        <v>428</v>
      </c>
      <c r="T37" s="21" t="s">
        <v>272</v>
      </c>
      <c r="U37" s="21" t="s">
        <v>429</v>
      </c>
      <c r="V37" s="22" t="s">
        <v>421</v>
      </c>
      <c r="W37" s="22"/>
      <c r="X37" s="22" t="s">
        <v>47</v>
      </c>
    </row>
    <row r="38" ht="32.25" customHeight="1">
      <c r="A38" s="21" t="s">
        <v>105</v>
      </c>
      <c r="B38" s="22" t="s">
        <v>106</v>
      </c>
      <c r="C38" s="22" t="s">
        <v>26</v>
      </c>
      <c r="D38" s="21" t="s">
        <v>27</v>
      </c>
      <c r="E38" s="22" t="s">
        <v>107</v>
      </c>
      <c r="F38" s="22"/>
      <c r="G38" s="22" t="s">
        <v>6</v>
      </c>
      <c r="H38" s="22" t="s">
        <v>108</v>
      </c>
      <c r="I38" s="22" t="s">
        <v>54</v>
      </c>
      <c r="J38" s="22" t="s">
        <v>109</v>
      </c>
      <c r="K38" s="21" t="s">
        <v>32</v>
      </c>
      <c r="L38" s="22" t="s">
        <v>110</v>
      </c>
      <c r="M38" s="21" t="s">
        <v>111</v>
      </c>
      <c r="N38" s="21" t="s">
        <v>57</v>
      </c>
      <c r="O38" s="22" t="s">
        <v>112</v>
      </c>
      <c r="P38" s="22" t="s">
        <v>430</v>
      </c>
      <c r="Q38" s="22"/>
      <c r="R38" s="21" t="s">
        <v>431</v>
      </c>
      <c r="S38" s="21" t="inlineStr">
        <is>
          <t xml:space="preserve">21/02/2027</t>
        </is>
      </c>
      <c r="T38" s="21" t="s">
        <v>61</v>
      </c>
      <c r="U38" s="21" t="s">
        <v>209</v>
      </c>
      <c r="V38" s="22" t="inlineStr">
        <is>
          <t xml:space="preserve">Search for suitable rental units Extended 6 months — lease now to 21/02/2027 (did not take AmanAra).</t>
        </is>
      </c>
      <c r="W38" s="22"/>
      <c r="X38" s="22" t="s">
        <v>434</v>
      </c>
    </row>
    <row r="39" ht="15.75" customHeight="1">
      <c r="A39" s="21" t="s">
        <v>435</v>
      </c>
      <c r="B39" s="22" t="s">
        <v>436</v>
      </c>
      <c r="C39" s="22" t="s">
        <v>26</v>
      </c>
      <c r="D39" s="21" t="s">
        <v>27</v>
      </c>
      <c r="E39" s="22" t="s">
        <v>437</v>
      </c>
      <c r="F39" s="22"/>
      <c r="G39" s="22" t="s">
        <v>6</v>
      </c>
      <c r="H39" s="22" t="s">
        <v>380</v>
      </c>
      <c r="I39" s="22" t="s">
        <v>43</v>
      </c>
      <c r="J39" s="22" t="s">
        <v>177</v>
      </c>
      <c r="K39" s="21" t="s">
        <v>178</v>
      </c>
      <c r="L39" s="22" t="s">
        <v>216</v>
      </c>
      <c r="M39" s="21" t="s">
        <v>438</v>
      </c>
      <c r="N39" s="21" t="s">
        <v>168</v>
      </c>
      <c r="O39" s="22" t="s">
        <v>58</v>
      </c>
      <c r="P39" s="22" t="s">
        <v>439</v>
      </c>
      <c r="Q39" s="22" t="s">
        <v>440</v>
      </c>
      <c r="R39" s="21"/>
      <c r="S39" s="21"/>
      <c r="T39" s="21"/>
      <c r="U39" s="21"/>
      <c r="V39" s="22"/>
      <c r="W39" s="22"/>
      <c r="X39" s="22"/>
    </row>
    <row r="40" ht="15.75" customHeight="1">
      <c r="A40" s="21" t="s">
        <v>441</v>
      </c>
      <c r="B40" s="22" t="s">
        <v>442</v>
      </c>
      <c r="C40" s="22" t="s">
        <v>26</v>
      </c>
      <c r="D40" s="21" t="s">
        <v>27</v>
      </c>
      <c r="E40" s="22" t="s">
        <v>443</v>
      </c>
      <c r="F40" s="22"/>
      <c r="G40" s="22" t="s">
        <v>6</v>
      </c>
      <c r="H40" s="22" t="s">
        <v>42</v>
      </c>
      <c r="I40" s="22" t="s">
        <v>73</v>
      </c>
      <c r="J40" s="22" t="s">
        <v>109</v>
      </c>
      <c r="K40" s="21" t="s">
        <v>178</v>
      </c>
      <c r="L40" s="22" t="s">
        <v>444</v>
      </c>
      <c r="M40" s="21" t="s">
        <v>445</v>
      </c>
      <c r="N40" s="21" t="s">
        <v>168</v>
      </c>
      <c r="O40" s="22" t="s">
        <v>58</v>
      </c>
      <c r="P40" s="22" t="s">
        <v>446</v>
      </c>
      <c r="Q40" s="22" t="s">
        <v>447</v>
      </c>
      <c r="R40" s="21" t="s">
        <v>144</v>
      </c>
      <c r="S40" s="21" t="s">
        <v>145</v>
      </c>
      <c r="T40" s="21" t="s">
        <v>448</v>
      </c>
      <c r="U40" s="21" t="s">
        <v>147</v>
      </c>
      <c r="V40" s="22" t="s">
        <v>421</v>
      </c>
      <c r="W40" s="22"/>
      <c r="X40" s="22"/>
    </row>
    <row r="41" ht="15.75" customHeight="1">
      <c r="A41" s="21" t="s">
        <v>449</v>
      </c>
      <c r="B41" s="22" t="s">
        <v>450</v>
      </c>
      <c r="C41" s="22" t="s">
        <v>451</v>
      </c>
      <c r="D41" s="21" t="s">
        <v>27</v>
      </c>
      <c r="E41" s="22"/>
      <c r="F41" s="22" t="s">
        <v>452</v>
      </c>
      <c r="G41" s="22" t="s">
        <v>82</v>
      </c>
      <c r="H41" s="22" t="s">
        <v>453</v>
      </c>
      <c r="I41" s="22" t="s">
        <v>43</v>
      </c>
      <c r="J41" s="22" t="s">
        <v>177</v>
      </c>
      <c r="K41" s="21" t="s">
        <v>178</v>
      </c>
      <c r="L41" s="22" t="s">
        <v>216</v>
      </c>
      <c r="M41" s="21" t="s">
        <v>454</v>
      </c>
      <c r="N41" s="21" t="s">
        <v>168</v>
      </c>
      <c r="O41" s="22" t="s">
        <v>58</v>
      </c>
      <c r="P41" s="22" t="s">
        <v>455</v>
      </c>
      <c r="Q41" s="22" t="s">
        <v>456</v>
      </c>
      <c r="R41" s="21"/>
      <c r="S41" s="21"/>
      <c r="T41" s="21"/>
      <c r="U41" s="21" t="s">
        <v>220</v>
      </c>
      <c r="V41" s="22" t="s">
        <v>221</v>
      </c>
      <c r="W41" s="22"/>
      <c r="X41" s="22"/>
    </row>
    <row r="42" ht="15.75" customHeight="1">
      <c r="A42" s="21" t="s">
        <v>457</v>
      </c>
      <c r="B42" s="22" t="s">
        <v>458</v>
      </c>
      <c r="C42" s="22" t="s">
        <v>213</v>
      </c>
      <c r="D42" s="21" t="s">
        <v>27</v>
      </c>
      <c r="E42" s="22"/>
      <c r="F42" s="22" t="s">
        <v>459</v>
      </c>
      <c r="G42" s="22" t="s">
        <v>82</v>
      </c>
      <c r="H42" s="22" t="s">
        <v>215</v>
      </c>
      <c r="I42" s="22" t="s">
        <v>73</v>
      </c>
      <c r="J42" s="22" t="s">
        <v>109</v>
      </c>
      <c r="K42" s="21" t="s">
        <v>178</v>
      </c>
      <c r="L42" s="22" t="s">
        <v>110</v>
      </c>
      <c r="M42" s="21" t="s">
        <v>460</v>
      </c>
      <c r="N42" s="21"/>
      <c r="O42" s="22" t="s">
        <v>461</v>
      </c>
      <c r="P42" s="22" t="s">
        <v>462</v>
      </c>
      <c r="Q42" s="22" t="s">
        <v>463</v>
      </c>
      <c r="R42" s="21" t="s">
        <v>464</v>
      </c>
      <c r="S42" s="21" t="s">
        <v>465</v>
      </c>
      <c r="T42" s="21" t="s">
        <v>466</v>
      </c>
      <c r="U42" s="21" t="s">
        <v>467</v>
      </c>
      <c r="V42" s="22" t="s">
        <v>421</v>
      </c>
      <c r="W42" s="22"/>
      <c r="X42" s="22"/>
    </row>
    <row r="43" ht="15.75" customHeight="1">
      <c r="A43" s="21" t="s">
        <v>468</v>
      </c>
      <c r="B43" s="22" t="s">
        <v>458</v>
      </c>
      <c r="C43" s="22" t="s">
        <v>213</v>
      </c>
      <c r="D43" s="21" t="s">
        <v>27</v>
      </c>
      <c r="E43" s="22"/>
      <c r="F43" s="22" t="s">
        <v>459</v>
      </c>
      <c r="G43" s="22" t="s">
        <v>82</v>
      </c>
      <c r="H43" s="22" t="s">
        <v>215</v>
      </c>
      <c r="I43" s="22" t="s">
        <v>73</v>
      </c>
      <c r="J43" s="22" t="s">
        <v>109</v>
      </c>
      <c r="K43" s="21" t="s">
        <v>178</v>
      </c>
      <c r="L43" s="22" t="s">
        <v>110</v>
      </c>
      <c r="M43" s="21" t="s">
        <v>469</v>
      </c>
      <c r="N43" s="21" t="s">
        <v>168</v>
      </c>
      <c r="O43" s="22" t="s">
        <v>58</v>
      </c>
      <c r="P43" s="22" t="s">
        <v>470</v>
      </c>
      <c r="Q43" s="22" t="s">
        <v>344</v>
      </c>
      <c r="R43" s="21" t="s">
        <v>471</v>
      </c>
      <c r="S43" s="21" t="s">
        <v>472</v>
      </c>
      <c r="T43" s="21" t="s">
        <v>466</v>
      </c>
      <c r="U43" s="21" t="s">
        <v>196</v>
      </c>
      <c r="V43" s="22" t="s">
        <v>421</v>
      </c>
      <c r="W43" s="22"/>
      <c r="X43" s="22"/>
    </row>
    <row r="44" ht="22.5" customHeight="1">
      <c r="A44" s="31" t="s">
        <v>473</v>
      </c>
      <c r="B44" s="32" t="s">
        <v>474</v>
      </c>
      <c r="C44" s="32" t="s">
        <v>475</v>
      </c>
      <c r="D44" s="31" t="s">
        <v>51</v>
      </c>
      <c r="E44" s="32" t="s">
        <v>476</v>
      </c>
      <c r="F44" s="32"/>
      <c r="G44" s="32" t="s">
        <v>6</v>
      </c>
      <c r="H44" s="32" t="s">
        <v>42</v>
      </c>
      <c r="I44" s="32" t="s">
        <v>477</v>
      </c>
      <c r="J44" s="32" t="s">
        <v>478</v>
      </c>
      <c r="K44" s="31" t="s">
        <v>178</v>
      </c>
      <c r="L44" s="32" t="s">
        <v>56</v>
      </c>
      <c r="M44" s="31" t="s">
        <v>479</v>
      </c>
      <c r="N44" s="31" t="s">
        <v>57</v>
      </c>
      <c r="O44" s="32" t="s">
        <v>58</v>
      </c>
      <c r="P44" s="32" t="s">
        <v>397</v>
      </c>
      <c r="Q44" s="32" t="s">
        <v>480</v>
      </c>
      <c r="R44" s="31" t="s">
        <v>464</v>
      </c>
      <c r="S44" s="31" t="s">
        <v>481</v>
      </c>
      <c r="T44" s="31" t="s">
        <v>61</v>
      </c>
      <c r="U44" s="31" t="s">
        <v>196</v>
      </c>
      <c r="V44" s="32" t="s">
        <v>421</v>
      </c>
      <c r="W44" s="32"/>
      <c r="X44" s="32"/>
    </row>
    <row r="45" ht="25.5" customHeight="1">
      <c r="A45" s="21" t="s">
        <v>482</v>
      </c>
      <c r="B45" s="22" t="s">
        <v>483</v>
      </c>
      <c r="C45" s="22" t="s">
        <v>229</v>
      </c>
      <c r="D45" s="21" t="s">
        <v>27</v>
      </c>
      <c r="E45" s="22" t="s">
        <v>484</v>
      </c>
      <c r="F45" s="22" t="s">
        <v>485</v>
      </c>
      <c r="G45" s="22" t="s">
        <v>486</v>
      </c>
      <c r="H45" s="22" t="s">
        <v>487</v>
      </c>
      <c r="I45" s="22" t="s">
        <v>30</v>
      </c>
      <c r="J45" s="22" t="s">
        <v>109</v>
      </c>
      <c r="K45" s="21" t="s">
        <v>178</v>
      </c>
      <c r="L45" s="22" t="s">
        <v>56</v>
      </c>
      <c r="M45" s="21" t="s">
        <v>488</v>
      </c>
      <c r="N45" s="21" t="s">
        <v>57</v>
      </c>
      <c r="O45" s="22" t="s">
        <v>58</v>
      </c>
      <c r="P45" s="22" t="s">
        <v>169</v>
      </c>
      <c r="Q45" s="22" t="s">
        <v>489</v>
      </c>
      <c r="R45" s="21" t="s">
        <v>490</v>
      </c>
      <c r="S45" s="21" t="s">
        <v>491</v>
      </c>
      <c r="T45" s="21" t="s">
        <v>61</v>
      </c>
      <c r="U45" s="21"/>
      <c r="V45" s="22" t="s">
        <v>492</v>
      </c>
      <c r="W45" s="22"/>
      <c r="X45" s="22"/>
    </row>
    <row r="46" ht="15.75" customHeight="1">
      <c r="A46" s="21" t="s">
        <v>493</v>
      </c>
      <c r="B46" s="22" t="s">
        <v>494</v>
      </c>
      <c r="C46" s="22" t="s">
        <v>26</v>
      </c>
      <c r="D46" s="21" t="s">
        <v>51</v>
      </c>
      <c r="E46" s="22" t="s">
        <v>495</v>
      </c>
      <c r="F46" s="22"/>
      <c r="G46" s="22" t="s">
        <v>6</v>
      </c>
      <c r="H46" s="22" t="s">
        <v>247</v>
      </c>
      <c r="I46" s="22" t="s">
        <v>73</v>
      </c>
      <c r="J46" s="22" t="s">
        <v>109</v>
      </c>
      <c r="K46" s="21" t="s">
        <v>178</v>
      </c>
      <c r="L46" s="22" t="s">
        <v>56</v>
      </c>
      <c r="M46" s="21" t="s">
        <v>496</v>
      </c>
      <c r="N46" s="21" t="s">
        <v>168</v>
      </c>
      <c r="O46" s="22" t="s">
        <v>58</v>
      </c>
      <c r="P46" s="22" t="s">
        <v>497</v>
      </c>
      <c r="Q46" s="22" t="s">
        <v>498</v>
      </c>
      <c r="R46" s="21" t="s">
        <v>499</v>
      </c>
      <c r="S46" s="21" t="s">
        <v>236</v>
      </c>
      <c r="T46" s="21" t="s">
        <v>391</v>
      </c>
      <c r="U46" s="21" t="s">
        <v>500</v>
      </c>
      <c r="V46" s="22" t="s">
        <v>421</v>
      </c>
      <c r="W46" s="22"/>
      <c r="X46" s="22"/>
    </row>
    <row r="47" ht="15.75" customHeight="1">
      <c r="A47" s="21" t="s">
        <v>501</v>
      </c>
      <c r="B47" s="22" t="s">
        <v>502</v>
      </c>
      <c r="C47" s="22" t="s">
        <v>320</v>
      </c>
      <c r="D47" s="21" t="s">
        <v>51</v>
      </c>
      <c r="E47" s="22" t="s">
        <v>503</v>
      </c>
      <c r="F47" s="22"/>
      <c r="G47" s="22" t="s">
        <v>6</v>
      </c>
      <c r="H47" s="22" t="s">
        <v>247</v>
      </c>
      <c r="I47" s="22" t="s">
        <v>73</v>
      </c>
      <c r="J47" s="22" t="s">
        <v>109</v>
      </c>
      <c r="K47" s="21" t="s">
        <v>178</v>
      </c>
      <c r="L47" s="22" t="s">
        <v>216</v>
      </c>
      <c r="M47" s="21" t="s">
        <v>504</v>
      </c>
      <c r="N47" s="21" t="s">
        <v>168</v>
      </c>
      <c r="O47" s="22" t="s">
        <v>58</v>
      </c>
      <c r="P47" s="22" t="s">
        <v>505</v>
      </c>
      <c r="Q47" s="22" t="s">
        <v>327</v>
      </c>
      <c r="R47" s="21" t="s">
        <v>490</v>
      </c>
      <c r="S47" s="21" t="s">
        <v>491</v>
      </c>
      <c r="T47" s="21" t="s">
        <v>506</v>
      </c>
      <c r="U47" s="21" t="s">
        <v>500</v>
      </c>
      <c r="V47" s="22" t="s">
        <v>421</v>
      </c>
      <c r="W47" s="26" t="s">
        <v>507</v>
      </c>
      <c r="X47" s="22"/>
    </row>
    <row r="48" ht="22.5" customHeight="1">
      <c r="A48" s="21" t="s">
        <v>508</v>
      </c>
      <c r="B48" s="22" t="s">
        <v>509</v>
      </c>
      <c r="C48" s="22" t="s">
        <v>320</v>
      </c>
      <c r="D48" s="21" t="s">
        <v>51</v>
      </c>
      <c r="E48" s="22" t="s">
        <v>510</v>
      </c>
      <c r="F48" s="22"/>
      <c r="G48" s="22" t="s">
        <v>6</v>
      </c>
      <c r="H48" s="22" t="s">
        <v>511</v>
      </c>
      <c r="I48" s="22" t="s">
        <v>73</v>
      </c>
      <c r="J48" s="22" t="s">
        <v>109</v>
      </c>
      <c r="K48" s="21" t="s">
        <v>178</v>
      </c>
      <c r="L48" s="22" t="s">
        <v>216</v>
      </c>
      <c r="M48" s="21" t="s">
        <v>512</v>
      </c>
      <c r="N48" s="21" t="s">
        <v>168</v>
      </c>
      <c r="O48" s="22" t="s">
        <v>58</v>
      </c>
      <c r="P48" s="22" t="s">
        <v>439</v>
      </c>
      <c r="Q48" s="22" t="s">
        <v>513</v>
      </c>
      <c r="R48" s="21" t="s">
        <v>514</v>
      </c>
      <c r="S48" s="21" t="s">
        <v>515</v>
      </c>
      <c r="T48" s="21" t="s">
        <v>506</v>
      </c>
      <c r="U48" s="21" t="s">
        <v>516</v>
      </c>
      <c r="V48" s="22" t="s">
        <v>421</v>
      </c>
      <c r="W48" s="22"/>
      <c r="X48" s="22"/>
    </row>
    <row r="49" ht="15.75" customHeight="1">
      <c r="A49" s="21" t="s">
        <v>517</v>
      </c>
      <c r="B49" s="22" t="s">
        <v>518</v>
      </c>
      <c r="C49" s="22" t="s">
        <v>50</v>
      </c>
      <c r="D49" s="21" t="s">
        <v>51</v>
      </c>
      <c r="E49" s="22" t="s">
        <v>519</v>
      </c>
      <c r="F49" s="22"/>
      <c r="G49" s="22" t="s">
        <v>6</v>
      </c>
      <c r="H49" s="22" t="s">
        <v>520</v>
      </c>
      <c r="I49" s="22" t="s">
        <v>73</v>
      </c>
      <c r="J49" s="22" t="s">
        <v>109</v>
      </c>
      <c r="K49" s="21" t="s">
        <v>178</v>
      </c>
      <c r="L49" s="22" t="s">
        <v>521</v>
      </c>
      <c r="M49" s="21" t="s">
        <v>522</v>
      </c>
      <c r="N49" s="21" t="s">
        <v>168</v>
      </c>
      <c r="O49" s="22" t="s">
        <v>58</v>
      </c>
      <c r="P49" s="22" t="s">
        <v>523</v>
      </c>
      <c r="Q49" s="22" t="s">
        <v>524</v>
      </c>
      <c r="R49" s="21" t="s">
        <v>525</v>
      </c>
      <c r="S49" s="21" t="s">
        <v>526</v>
      </c>
      <c r="T49" s="21" t="s">
        <v>527</v>
      </c>
      <c r="U49" s="21" t="s">
        <v>516</v>
      </c>
      <c r="V49" s="22" t="s">
        <v>421</v>
      </c>
      <c r="W49" s="22"/>
      <c r="X49" s="22"/>
    </row>
    <row r="50" ht="15.75" customHeight="1">
      <c r="A50" s="21" t="s">
        <v>528</v>
      </c>
      <c r="B50" s="22" t="s">
        <v>529</v>
      </c>
      <c r="C50" s="22" t="s">
        <v>530</v>
      </c>
      <c r="D50" s="21" t="s">
        <v>51</v>
      </c>
      <c r="E50" s="22" t="s">
        <v>531</v>
      </c>
      <c r="F50" s="22"/>
      <c r="G50" s="22" t="s">
        <v>6</v>
      </c>
      <c r="H50" s="22" t="s">
        <v>99</v>
      </c>
      <c r="I50" s="22" t="s">
        <v>73</v>
      </c>
      <c r="J50" s="22" t="s">
        <v>109</v>
      </c>
      <c r="K50" s="21" t="s">
        <v>32</v>
      </c>
      <c r="L50" s="22" t="s">
        <v>56</v>
      </c>
      <c r="M50" s="21" t="s">
        <v>192</v>
      </c>
      <c r="N50" s="21" t="s">
        <v>57</v>
      </c>
      <c r="O50" s="22" t="s">
        <v>58</v>
      </c>
      <c r="P50" s="22" t="s">
        <v>532</v>
      </c>
      <c r="Q50" s="22" t="s">
        <v>533</v>
      </c>
      <c r="R50" s="21" t="s">
        <v>534</v>
      </c>
      <c r="S50" s="21" t="s">
        <v>535</v>
      </c>
      <c r="T50" s="21" t="s">
        <v>61</v>
      </c>
      <c r="U50" s="21" t="inlineStr">
        <is>
          <t xml:space="preserve">21/06/2026</t>
        </is>
      </c>
      <c r="V50" s="22" t="inlineStr">
        <is>
          <t xml:space="preserve">Handover/check-in 21/06/2026 (Sun) 3pm at Inspirasi A-12-06. Handover completed 21/06/2026.</t>
        </is>
      </c>
      <c r="W50" s="22"/>
      <c r="X50" s="22"/>
    </row>
    <row r="51" ht="15.75" customHeight="1">
      <c r="A51" s="21" t="s">
        <v>537</v>
      </c>
      <c r="B51" s="22" t="s">
        <v>538</v>
      </c>
      <c r="C51" s="22" t="s">
        <v>539</v>
      </c>
      <c r="D51" s="21" t="s">
        <v>51</v>
      </c>
      <c r="E51" s="22" t="s">
        <v>540</v>
      </c>
      <c r="F51" s="22"/>
      <c r="G51" s="22" t="s">
        <v>6</v>
      </c>
      <c r="H51" s="22" t="s">
        <v>42</v>
      </c>
      <c r="I51" s="22" t="s">
        <v>73</v>
      </c>
      <c r="J51" s="22" t="s">
        <v>109</v>
      </c>
      <c r="K51" s="21" t="s">
        <v>32</v>
      </c>
      <c r="L51" s="22" t="s">
        <v>56</v>
      </c>
      <c r="M51" s="21" t="s">
        <v>312</v>
      </c>
      <c r="N51" s="21" t="s">
        <v>57</v>
      </c>
      <c r="O51" s="22" t="s">
        <v>58</v>
      </c>
      <c r="P51" s="22" t="s">
        <v>155</v>
      </c>
      <c r="Q51" s="22" t="s">
        <v>541</v>
      </c>
      <c r="R51" s="21" t="s">
        <v>542</v>
      </c>
      <c r="S51" s="21" t="s">
        <v>543</v>
      </c>
      <c r="T51" s="21" t="s">
        <v>93</v>
      </c>
      <c r="U51" s="21" t="s">
        <v>93</v>
      </c>
      <c r="V51" s="22" t="s">
        <v>544</v>
      </c>
      <c r="W51" s="22"/>
      <c r="X51" s="22"/>
    </row>
    <row r="52" ht="15.75" customHeight="1">
      <c r="A52" s="21" t="s">
        <v>545</v>
      </c>
      <c r="B52" s="22" t="s">
        <v>546</v>
      </c>
      <c r="C52" s="22" t="s">
        <v>360</v>
      </c>
      <c r="D52" s="21" t="s">
        <v>51</v>
      </c>
      <c r="E52" s="22" t="s">
        <v>547</v>
      </c>
      <c r="F52" s="22"/>
      <c r="G52" s="22" t="s">
        <v>6</v>
      </c>
      <c r="H52" s="22" t="s">
        <v>42</v>
      </c>
      <c r="I52" s="22" t="s">
        <v>73</v>
      </c>
      <c r="J52" s="22" t="s">
        <v>109</v>
      </c>
      <c r="K52" s="21" t="s">
        <v>32</v>
      </c>
      <c r="L52" s="22" t="s">
        <v>56</v>
      </c>
      <c r="M52" s="21" t="s">
        <v>548</v>
      </c>
      <c r="N52" s="21" t="s">
        <v>57</v>
      </c>
      <c r="O52" s="22" t="s">
        <v>58</v>
      </c>
      <c r="P52" s="22" t="s">
        <v>364</v>
      </c>
      <c r="Q52" s="22" t="s">
        <v>549</v>
      </c>
      <c r="R52" s="21" t="s">
        <v>399</v>
      </c>
      <c r="S52" s="21" t="s">
        <v>550</v>
      </c>
      <c r="T52" s="21" t="s">
        <v>61</v>
      </c>
      <c r="U52" s="21" t="s">
        <v>399</v>
      </c>
      <c r="V52" s="22" t="s">
        <v>536</v>
      </c>
      <c r="W52" s="22"/>
      <c r="X52" s="22"/>
    </row>
    <row r="53" ht="15.75" customHeight="1">
      <c r="A53" s="21" t="s">
        <v>551</v>
      </c>
      <c r="B53" s="22" t="s">
        <v>552</v>
      </c>
      <c r="C53" s="22" t="s">
        <v>553</v>
      </c>
      <c r="D53" s="21" t="s">
        <v>51</v>
      </c>
      <c r="E53" s="22" t="s">
        <v>554</v>
      </c>
      <c r="F53" s="22"/>
      <c r="G53" s="22" t="s">
        <v>6</v>
      </c>
      <c r="H53" s="22" t="s">
        <v>555</v>
      </c>
      <c r="I53" s="22" t="s">
        <v>73</v>
      </c>
      <c r="J53" s="22" t="s">
        <v>109</v>
      </c>
      <c r="K53" s="21" t="s">
        <v>32</v>
      </c>
      <c r="L53" s="22" t="s">
        <v>56</v>
      </c>
      <c r="M53" s="21" t="s">
        <v>548</v>
      </c>
      <c r="N53" s="21" t="s">
        <v>168</v>
      </c>
      <c r="O53" s="22" t="s">
        <v>58</v>
      </c>
      <c r="P53" s="22" t="s">
        <v>497</v>
      </c>
      <c r="Q53" s="22" t="s">
        <v>556</v>
      </c>
      <c r="R53" s="21" t="s">
        <v>391</v>
      </c>
      <c r="S53" s="21" t="s">
        <v>557</v>
      </c>
      <c r="T53" s="21" t="s">
        <v>93</v>
      </c>
      <c r="U53" s="21"/>
      <c r="V53" s="22" t="s">
        <v>558</v>
      </c>
      <c r="W53" s="22"/>
      <c r="X53" s="22"/>
    </row>
    <row r="54" ht="15.75" customHeight="1">
      <c r="A54" s="21" t="inlineStr">
        <is>
          <t xml:space="preserve">L034</t>
        </is>
      </c>
      <c r="B54" s="22" t="inlineStr">
        <is>
          <t xml:space="preserve">Datuk Francis</t>
        </is>
      </c>
      <c r="C54" s="22" t="inlineStr">
        <is>
          <t xml:space="preserve">Malaysia</t>
        </is>
      </c>
      <c r="D54" s="21" t="inlineStr">
        <is>
          <t xml:space="preserve">Mandarin</t>
        </is>
      </c>
      <c r="E54" s="22" t="inlineStr">
        <is>
          <t xml:space="preserve">+60163286188</t>
        </is>
      </c>
      <c r="F54" s="22"/>
      <c r="G54" s="22" t="inlineStr">
        <is>
          <t xml:space="preserve">WhatsApp</t>
        </is>
      </c>
      <c r="H54" s="22"/>
      <c r="I54" s="22" t="inlineStr">
        <is>
          <t xml:space="preserve">Purchaser</t>
        </is>
      </c>
      <c r="J54" s="22" t="inlineStr">
        <is>
          <t xml:space="preserve">Purchase — Offer Letter Signed + Deposit In</t>
        </is>
      </c>
      <c r="K54" s="21"/>
      <c r="L54" s="22" t="inlineStr">
        <is>
          <t xml:space="preserve">Hartamas Heights</t>
        </is>
      </c>
      <c r="M54" s="21">
        <v>5622500</v>
      </c>
      <c r="N54" s="21"/>
      <c r="O54" s="22" t="inlineStr">
        <is>
          <t xml:space="preserve">Bungalow Land</t>
        </is>
      </c>
      <c r="P54" s="22" t="inlineStr">
        <is>
          <t xml:space="preserve">Hartamas Heights (Lot 58629)</t>
        </is>
      </c>
      <c r="Q54" s="22" t="inlineStr">
        <is>
          <t xml:space="preserve">No. 21 — 6,500sf land</t>
        </is>
      </c>
      <c r="R54" s="21"/>
      <c r="S54" s="21"/>
      <c r="T54" s="21" t="inlineStr">
        <is>
          <t xml:space="preserve">13/06/2026</t>
        </is>
      </c>
      <c r="U54" s="21" t="inlineStr">
        <is>
          <t xml:space="preserve">22/06/2026</t>
        </is>
      </c>
      <c r="V54" s="22" t="inlineStr">
        <is>
          <t xml:space="preserve">Bungalow LAND 6,500sf @ RM865psf (RM5,622,500). ✅ Offer letter signed + earnest deposit collected. Next: SPA → completion. Co-broke 50/50 Caydence, Spencer share RM56,225.</t>
        </is>
      </c>
      <c r="W54" s="22"/>
      <c r="X54" s="22" t="inlineStr">
        <is>
          <t xml:space="preserve">Purchaser / Land</t>
        </is>
      </c>
    </row>
    <row r="55" ht="15.75" customHeight="1">
      <c r="A55" s="21" t="inlineStr">
        <is>
          <t xml:space="preserve">L061</t>
        </is>
      </c>
      <c r="B55" s="22" t="inlineStr">
        <is>
          <t xml:space="preserve">Nas (Kenangan Coffee)</t>
        </is>
      </c>
      <c r="C55" s="22" t="inlineStr">
        <is>
          <t xml:space="preserve">Malaysian</t>
        </is>
      </c>
      <c r="D55" s="21" t="inlineStr">
        <is>
          <t xml:space="preserve">Malay, English</t>
        </is>
      </c>
      <c r="E55" s="22" t="inlineStr">
        <is>
          <t xml:space="preserve">+60194707037</t>
        </is>
      </c>
      <c r="F55" s="22"/>
      <c r="G55" s="22" t="inlineStr">
        <is>
          <t xml:space="preserve">WhatsApp</t>
        </is>
      </c>
      <c r="H55" s="22" t="inlineStr">
        <is>
          <t xml:space="preserve">iProperty</t>
        </is>
      </c>
      <c r="I55" s="22" t="inlineStr">
        <is>
          <t xml:space="preserve">Tenant</t>
        </is>
      </c>
      <c r="J55" s="22" t="inlineStr">
        <is>
          <t xml:space="preserve">Rented — pending offer letter</t>
        </is>
      </c>
      <c r="K55" s="21"/>
      <c r="L55" s="22" t="inlineStr">
        <is>
          <t xml:space="preserve">Setapak</t>
        </is>
      </c>
      <c r="M55" s="21">
        <v>8500</v>
      </c>
      <c r="N55" s="21"/>
      <c r="O55" s="22" t="inlineStr">
        <is>
          <t xml:space="preserve">Commercial Shoplot</t>
        </is>
      </c>
      <c r="P55" s="22" t="inlineStr">
        <is>
          <t xml:space="preserve">KLTS Setapak</t>
        </is>
      </c>
      <c r="Q55" s="22" t="inlineStr">
        <is>
          <t xml:space="preserve">51-G-1</t>
        </is>
      </c>
      <c r="R55" s="21"/>
      <c r="S55" s="21"/>
      <c r="T55" s="21" t="inlineStr">
        <is>
          <t xml:space="preserve">16/06/2026</t>
        </is>
      </c>
      <c r="U55" s="21"/>
      <c r="V55" s="22" t="inlineStr">
        <is>
          <t xml:space="preserve">F&amp;B (Kenangan Coffee) — Patrick Chow KLTS Setapak 51-G-1. RM8,500(yr1)/RM9,000(yr2-3), 3+3yrs. Offer letter SIGNED; earnest deposit pending payment.</t>
        </is>
      </c>
      <c r="W55" s="22"/>
      <c r="X55" s="22" t="inlineStr">
        <is>
          <t xml:space="preserve">F&amp;B Tenant</t>
        </is>
      </c>
    </row>
    <row r="56" ht="15.75" customHeight="1">
      <c r="A56" s="21" t="inlineStr">
        <is>
          <t xml:space="preserve">L034</t>
        </is>
      </c>
      <c r="B56" s="22" t="inlineStr">
        <is>
          <t xml:space="preserve">Datuk Francis (seller)</t>
        </is>
      </c>
      <c r="C56" s="22" t="inlineStr">
        <is>
          <t xml:space="preserve">Malaysia</t>
        </is>
      </c>
      <c r="D56" s="21" t="inlineStr">
        <is>
          <t xml:space="preserve">Mandarin</t>
        </is>
      </c>
      <c r="E56" s="22"/>
      <c r="F56" s="22"/>
      <c r="G56" s="22"/>
      <c r="H56" s="22"/>
      <c r="I56" s="22" t="inlineStr">
        <is>
          <t xml:space="preserve">Vendor / Seller</t>
        </is>
      </c>
      <c r="J56" s="22" t="inlineStr">
        <is>
          <t xml:space="preserve">Sold</t>
        </is>
      </c>
      <c r="K56" s="21"/>
      <c r="L56" s="22"/>
      <c r="M56" s="21">
        <v>420000</v>
      </c>
      <c r="N56" s="21"/>
      <c r="O56" s="22" t="inlineStr">
        <is>
          <t xml:space="preserve">Condominium</t>
        </is>
      </c>
      <c r="P56" s="22" t="inlineStr">
        <is>
          <t xml:space="preserve">Mulberi</t>
        </is>
      </c>
      <c r="Q56" s="22" t="inlineStr">
        <is>
          <t xml:space="preserve">13A-02</t>
        </is>
      </c>
      <c r="R56" s="21"/>
      <c r="S56" s="21"/>
      <c r="T56" s="21" t="inlineStr">
        <is>
          <t xml:space="preserve">19/06/2026</t>
        </is>
      </c>
      <c r="U56" s="21"/>
      <c r="V56" s="22" t="inlineStr">
        <is>
          <t xml:space="preserve">Datuk's unit 13A-02 Mulberi SOLD @ RM420,000. Co-broke 50/50 w/ Caydence; Spencer share 1.5% = RM6,300. (13A-03A still listed @ RM420k.)</t>
        </is>
      </c>
      <c r="W56" s="22"/>
      <c r="X56" s="22" t="inlineStr">
        <is>
          <t xml:space="preserve">Vendor / Sale</t>
        </is>
      </c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</row>
  </sheetData>
  <mergeCells count="2">
    <mergeCell ref="A1:X1"/>
    <mergeCell ref="A2:X2"/>
  </mergeCell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565C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20.0"/>
    <col customWidth="1" min="3" max="3" width="14.0"/>
    <col customWidth="1" min="4" max="4" width="13.0"/>
    <col customWidth="1" min="5" max="5" width="11.0"/>
    <col customWidth="1" min="6" max="6" width="10.0"/>
    <col customWidth="1" min="7" max="7" width="20.0"/>
    <col customWidth="1" min="8" max="8" width="34.0"/>
    <col customWidth="1" min="9" max="9" width="30.0"/>
    <col customWidth="1" min="10" max="10" width="26.0"/>
    <col customWidth="1" min="11" max="11" width="20.14"/>
    <col customWidth="1" min="12" max="12" width="13.0"/>
    <col customWidth="1" min="13" max="13" width="11.0"/>
    <col customWidth="1" min="14" max="14" width="11.43"/>
    <col customWidth="1" min="15" max="15" width="22.57"/>
    <col customWidth="1" min="16" max="26" width="8.71"/>
  </cols>
  <sheetData>
    <row r="1" ht="37.5" customHeight="1">
      <c r="A1" s="1" t="s">
        <v>559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3"/>
      <c r="O1" s="25"/>
    </row>
    <row r="2" ht="16.5" customHeight="1">
      <c r="A2" s="4" t="s">
        <v>560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6"/>
      <c r="O2" s="25"/>
    </row>
    <row r="3" ht="21.75" customHeight="1">
      <c r="A3" s="7" t="s">
        <v>2</v>
      </c>
      <c r="B3" s="7" t="s">
        <v>561</v>
      </c>
      <c r="C3" s="7" t="s">
        <v>4</v>
      </c>
      <c r="D3" s="7" t="s">
        <v>562</v>
      </c>
      <c r="E3" s="7" t="s">
        <v>563</v>
      </c>
      <c r="F3" s="7" t="s">
        <v>12</v>
      </c>
      <c r="G3" s="7" t="s">
        <v>11</v>
      </c>
      <c r="H3" s="7" t="s">
        <v>564</v>
      </c>
      <c r="I3" s="7" t="s">
        <v>565</v>
      </c>
      <c r="J3" s="7" t="s">
        <v>566</v>
      </c>
      <c r="K3" s="7" t="s">
        <v>567</v>
      </c>
      <c r="L3" s="7" t="s">
        <v>568</v>
      </c>
      <c r="M3" s="7" t="s">
        <v>5</v>
      </c>
      <c r="N3" s="7" t="s">
        <v>569</v>
      </c>
      <c r="O3" s="7" t="s">
        <v>570</v>
      </c>
    </row>
    <row r="4" ht="22.5" customHeight="1">
      <c r="A4" s="17" t="s">
        <v>95</v>
      </c>
      <c r="B4" s="18" t="s">
        <v>96</v>
      </c>
      <c r="C4" s="17" t="s">
        <v>475</v>
      </c>
      <c r="D4" s="17" t="inlineStr">
        <is>
          <t xml:space="preserve">26/06/2026</t>
        </is>
      </c>
      <c r="E4" s="17" t="s">
        <v>6</v>
      </c>
      <c r="F4" s="17" t="s">
        <v>32</v>
      </c>
      <c r="G4" s="17" t="inlineStr">
        <is>
          <t xml:space="preserve">Quiet — sourcing alternatives</t>
        </is>
      </c>
      <c r="H4" s="18" t="inlineStr">
        <is>
          <t xml:space="preserve">RM4.2m offer on AB-39-02 rejected. Shared MK 10 comp; AB-39-02 still available — awaiting response.</t>
        </is>
      </c>
      <c r="I4" s="18" t="inlineStr">
        <is>
          <t xml:space="preserve">Sent offer-first message; Umesh seen, no response — likely declining at owner RM4.7m (his max RM4.5m).</t>
        </is>
      </c>
      <c r="J4" s="17" t="inlineStr">
        <is>
          <t xml:space="preserve">SOURCE ALTERNATIVES ~RM4.5m: MK 10 &amp; nearby comparable (3,600sf+). Soft no-pressure follow-up ~26/06. Reopen AB-39-02 if owner softens.</t>
        </is>
      </c>
      <c r="K4" s="17"/>
      <c r="L4" s="17" t="s">
        <v>574</v>
      </c>
      <c r="M4" s="17" t="s">
        <v>51</v>
      </c>
      <c r="N4" s="17" t="s">
        <v>575</v>
      </c>
      <c r="O4" s="17"/>
    </row>
    <row r="5" ht="32.25" customHeight="1">
      <c r="A5" s="11" t="s">
        <v>39</v>
      </c>
      <c r="B5" s="12" t="s">
        <v>40</v>
      </c>
      <c r="C5" s="11" t="s">
        <v>26</v>
      </c>
      <c r="D5" s="11" t="inlineStr">
        <is>
          <t xml:space="preserve">22/06/2026</t>
        </is>
      </c>
      <c r="E5" s="11" t="s">
        <v>6</v>
      </c>
      <c r="F5" s="11" t="s">
        <v>32</v>
      </c>
      <c r="G5" s="11" t="inlineStr">
        <is>
          <t xml:space="preserve">✅ Booked — signed + deposit in</t>
        </is>
      </c>
      <c r="H5" s="12" t="inlineStr">
        <is>
          <t xml:space="preserve">Prefers bungalow LAND to build. 11/06 (Thu): 4pm 119 Sunway Kiara Hills (RM4.5m, Yuan Ling); 4:30pm Hartamas Hts land 6,500sf RM6.18m (Caydence); 5pm Hartamas Hts land 9,791sf RM9.3m &amp; 12,200sf RM10.5m (Joel Loke); 5:15pm Hartamas Hts land 17,997sf RM11m (Kelvin Moh); 5:30pm Hartamas Hts bungalow B/U 15,127sf RM18m (Teoh). Keen on Laman Setiakasih 8 (RM9.2m).</t>
        </is>
      </c>
      <c r="I5" s="12" t="inlineStr">
        <is>
          <t xml:space="preserve">Booked: offer letter signed + deposit collected. SPA + OCBC loan in process.</t>
        </is>
      </c>
      <c r="J5" s="11" t="inlineStr">
        <is>
          <t xml:space="preserve">22/06 11am: meet Datuk — collect bank loan docs + fill OCBC loan application. Then SPA. Hold share RM56,225.</t>
        </is>
      </c>
      <c r="K5" s="11" t="inlineStr">
        <is>
          <t xml:space="preserve">22/06/2026 (Mon) 11am — collect loan docs + OCBC loan application</t>
        </is>
      </c>
      <c r="L5" s="11" t="inlineStr">
        <is>
          <t xml:space="preserve">12/06/2026</t>
        </is>
      </c>
      <c r="M5" s="11" t="s">
        <v>27</v>
      </c>
      <c r="N5" s="11" t="inlineStr">
        <is>
          <t xml:space="preserve">Confirmed 09/06 (3 units) &amp; 11/06</t>
        </is>
      </c>
      <c r="O5" s="11" t="inlineStr">
        <is>
          <t xml:space="preserve">Property: Lot 58629, No. 21 Hartamas Heights land (6,500sf). Co-agent Caydence (co-broke 50/50).</t>
        </is>
      </c>
    </row>
    <row r="6" ht="42.75" customHeight="1">
      <c r="A6" s="11" t="s">
        <v>87</v>
      </c>
      <c r="B6" s="12" t="s">
        <v>88</v>
      </c>
      <c r="C6" s="11" t="s">
        <v>89</v>
      </c>
      <c r="D6" s="11" t="s">
        <v>93</v>
      </c>
      <c r="E6" s="11" t="s">
        <v>82</v>
      </c>
      <c r="F6" s="11" t="s">
        <v>32</v>
      </c>
      <c r="G6" s="11" t="s">
        <v>44</v>
      </c>
      <c r="H6" s="12" t="s">
        <v>581</v>
      </c>
      <c r="I6" s="33" t="s">
        <v>582</v>
      </c>
      <c r="J6" s="11" t="s">
        <v>583</v>
      </c>
      <c r="K6" s="11" t="s">
        <v>584</v>
      </c>
      <c r="L6" s="11" t="s">
        <v>62</v>
      </c>
      <c r="M6" s="11" t="s">
        <v>27</v>
      </c>
      <c r="N6" s="11" t="s">
        <v>585</v>
      </c>
      <c r="O6" s="11" t="s">
        <v>586</v>
      </c>
    </row>
    <row r="7" ht="22.5" customHeight="1">
      <c r="A7" s="17" t="s">
        <v>48</v>
      </c>
      <c r="B7" s="18" t="s">
        <v>49</v>
      </c>
      <c r="C7" s="17" t="s">
        <v>50</v>
      </c>
      <c r="D7" s="17" t="inlineStr">
        <is>
          <t xml:space="preserve">26/06/2026</t>
        </is>
      </c>
      <c r="E7" s="17" t="s">
        <v>6</v>
      </c>
      <c r="F7" s="17" t="s">
        <v>32</v>
      </c>
      <c r="G7" s="17" t="inlineStr">
        <is>
          <t xml:space="preserve">Shortlisting — Hijauan Kiara / Trinity Pentamont</t>
        </is>
      </c>
      <c r="H7" s="18" t="inlineStr">
        <is>
          <t xml:space="preserve">Viewing 20/06 (Sat) 2:30pm: Hijauan Kiara RM1.6m (2,200sf Lvl18); Kiara 9 Residency RM1.5m (2,500sf); Kiara 1888 RM1.1m (1,927sf FF)</t>
        </is>
      </c>
      <c r="I7" s="34" t="inlineStr">
        <is>
          <t xml:space="preserve">Prefer Hijauan Kiara + Trinity Pentamont (RM1.75m, Level 2, below market, iProperty). Ingo keen to view. Open balcony only (dislike lanai).</t>
        </is>
      </c>
      <c r="J7" s="17" t="inlineStr">
        <is>
          <t xml:space="preserve">Arrange Trinity Pentamont viewing (RM1.75m, Lvl 2) + more Hijauan Kiara units (open balcony).</t>
        </is>
      </c>
      <c r="K7" s="35" t="inlineStr">
        <is>
          <t xml:space="preserve">20/06 viewed — Hijauan Kiara front-runner</t>
        </is>
      </c>
      <c r="L7" s="17" t="s">
        <v>591</v>
      </c>
      <c r="M7" s="17" t="s">
        <v>51</v>
      </c>
      <c r="N7" s="17" t="s">
        <v>575</v>
      </c>
      <c r="O7" s="17" t="inlineStr">
        <is>
          <t>Confirmation message sent 05/06/2026</t>
        </is>
      </c>
    </row>
    <row r="8">
      <c r="A8" s="17" t="s">
        <v>65</v>
      </c>
      <c r="B8" s="18" t="s">
        <v>66</v>
      </c>
      <c r="C8" s="17" t="s">
        <v>67</v>
      </c>
      <c r="D8" s="17" t="inlineStr">
        <is>
          <t xml:space="preserve">26/06/2026</t>
        </is>
      </c>
      <c r="E8" s="17" t="s">
        <v>6</v>
      </c>
      <c r="F8" s="17" t="s">
        <v>32</v>
      </c>
      <c r="G8" s="17" t="inlineStr">
        <is>
          <t xml:space="preserve">Shortlisting — Hijauan Kiara / Trinity Pentamont</t>
        </is>
      </c>
      <c r="H8" s="18" t="inlineStr">
        <is>
          <t xml:space="preserve">Viewing 20/06 (Sat) 2:30pm: Hijauan Kiara RM1.6m (2,200sf Lvl18); Kiara 9 Residency RM1.5m (2,500sf); Kiara 1888 RM1.1m (1,927sf FF)</t>
        </is>
      </c>
      <c r="I8" s="34" t="inlineStr">
        <is>
          <t xml:space="preserve">Prefer Hijauan Kiara + Trinity Pentamont (RM1.75m, Level 2, below market, iProperty). Ingo keen to view. Open balcony only (dislike lanai).</t>
        </is>
      </c>
      <c r="J8" s="17" t="inlineStr">
        <is>
          <t xml:space="preserve">Arrange Trinity Pentamont viewing (RM1.75m, Lvl 2) + more Hijauan Kiara units (open balcony).</t>
        </is>
      </c>
      <c r="K8" s="35" t="inlineStr">
        <is>
          <t xml:space="preserve">20/06 viewed — Hijauan Kiara front-runner</t>
        </is>
      </c>
      <c r="L8" s="17" t="s">
        <v>591</v>
      </c>
      <c r="M8" s="17" t="s">
        <v>51</v>
      </c>
      <c r="N8" s="17" t="s">
        <v>575</v>
      </c>
      <c r="O8" s="17" t="inlineStr">
        <is>
          <t>Confirmation message sent 05/06/2026</t>
        </is>
      </c>
    </row>
    <row r="9" ht="22.5" customHeight="1">
      <c r="A9" s="17" t="s">
        <v>78</v>
      </c>
      <c r="B9" s="18" t="s">
        <v>79</v>
      </c>
      <c r="C9" s="17" t="s">
        <v>80</v>
      </c>
      <c r="D9" s="17" t="inlineStr">
        <is>
          <t xml:space="preserve">31/07/2026</t>
        </is>
      </c>
      <c r="E9" s="17" t="s">
        <v>82</v>
      </c>
      <c r="F9" s="17" t="s">
        <v>32</v>
      </c>
      <c r="G9" s="17" t="inlineStr">
        <is>
          <t xml:space="preserve">Nurture — not ready</t>
        </is>
      </c>
      <c r="H9" s="18" t="s">
        <v>594</v>
      </c>
      <c r="I9" s="18"/>
      <c r="J9" s="17" t="inlineStr">
        <is>
          <t xml:space="preserve">Light nurture; re-engage when she's ready to buy.</t>
        </is>
      </c>
      <c r="K9" s="17"/>
      <c r="L9" s="17" t="s">
        <v>574</v>
      </c>
      <c r="M9" s="17" t="s">
        <v>27</v>
      </c>
      <c r="N9" s="17" t="s">
        <v>575</v>
      </c>
      <c r="O9" s="17"/>
    </row>
    <row r="10" ht="22.5" customHeight="1">
      <c r="A10" s="17" t="s">
        <v>24</v>
      </c>
      <c r="B10" s="18" t="s">
        <v>25</v>
      </c>
      <c r="C10" s="17" t="s">
        <v>26</v>
      </c>
      <c r="D10" s="17" t="inlineStr">
        <is>
          <t xml:space="preserve">12/06/2026</t>
        </is>
      </c>
      <c r="E10" s="17" t="s">
        <v>6</v>
      </c>
      <c r="F10" s="17" t="s">
        <v>32</v>
      </c>
      <c r="G10" s="17" t="inlineStr">
        <is>
          <t xml:space="preserve">Marketing</t>
        </is>
      </c>
      <c r="H10" s="18" t="inlineStr">
        <is>
          <t xml:space="preserve">KLTS Setapak 51-G-1 vacant — find tenant (Cotti Coffee breached)</t>
        </is>
      </c>
      <c r="I10" s="18" t="inlineStr">
        <is>
          <t xml:space="preserve">KLTS Setapak 51-G-1 marketed 09/06. Nas (Kenangan Coffee) placed offer.</t>
        </is>
      </c>
      <c r="J10" s="17" t="inlineStr">
        <is>
          <t xml:space="preserve">Negotiate Nas/Kenangan offer (free-reno gap: 15 days offered vs 1 mth requested); close tenancy.</t>
        </is>
      </c>
      <c r="K10" s="17"/>
      <c r="L10" s="17" t="s">
        <v>574</v>
      </c>
      <c r="M10" s="17" t="s">
        <v>27</v>
      </c>
      <c r="N10" s="17" t="s">
        <v>575</v>
      </c>
      <c r="O10" s="17"/>
    </row>
    <row r="11" ht="22.5" customHeight="1">
      <c r="A11" s="17" t="s">
        <v>385</v>
      </c>
      <c r="B11" s="18" t="s">
        <v>386</v>
      </c>
      <c r="C11" s="17" t="s">
        <v>26</v>
      </c>
      <c r="D11" s="17" t="s">
        <v>598</v>
      </c>
      <c r="E11" s="17" t="s">
        <v>6</v>
      </c>
      <c r="F11" s="17" t="s">
        <v>32</v>
      </c>
      <c r="G11" s="17" t="s">
        <v>571</v>
      </c>
      <c r="H11" s="18" t="s">
        <v>599</v>
      </c>
      <c r="I11" s="18"/>
      <c r="J11" s="17" t="s">
        <v>600</v>
      </c>
      <c r="K11" s="17"/>
      <c r="L11" s="17" t="s">
        <v>601</v>
      </c>
      <c r="M11" s="17" t="s">
        <v>27</v>
      </c>
      <c r="N11" s="17" t="s">
        <v>575</v>
      </c>
      <c r="O11" s="17"/>
    </row>
    <row r="12">
      <c r="A12" s="17" t="s">
        <v>105</v>
      </c>
      <c r="B12" s="18" t="s">
        <v>106</v>
      </c>
      <c r="C12" s="17" t="s">
        <v>26</v>
      </c>
      <c r="D12" s="17" t="inlineStr">
        <is>
          <t xml:space="preserve">13/06/2026</t>
        </is>
      </c>
      <c r="E12" s="17" t="s">
        <v>6</v>
      </c>
      <c r="F12" s="17" t="s">
        <v>32</v>
      </c>
      <c r="G12" s="17" t="inlineStr">
        <is>
          <t xml:space="preserve">✅ Closed — moved to Done Deals</t>
        </is>
      </c>
      <c r="H12" s="18" t="inlineStr">
        <is>
          <t>Post-viewing follow-up — AmanAra Residence (Bandar Utama), viewed 04/06 via JY Kam</t>
        </is>
      </c>
      <c r="I12" s="18" t="inlineStr">
        <is>
          <t xml:space="preserve">Submitted offer RM4,800/mo to landlord agent JY Kam 11/06; pending revert. (AmanAra Residence, Bandar Utama.)</t>
        </is>
      </c>
      <c r="J12" s="17" t="inlineStr">
        <is>
          <t xml:space="preserve">Await landlord revert on RM4,800 offer; negotiate via JY Kam.</t>
        </is>
      </c>
      <c r="K12" s="17"/>
      <c r="L12" s="17" t="s">
        <v>591</v>
      </c>
      <c r="M12" s="17" t="s">
        <v>27</v>
      </c>
      <c r="N12" s="17" t="inlineStr">
        <is>
          <t xml:space="preserve">✓</t>
        </is>
      </c>
      <c r="O12" s="17" t="inlineStr">
        <is>
          <t>Co-broke: JY Kam (PropertyGuru)</t>
        </is>
      </c>
    </row>
    <row r="13" ht="22.5" customHeight="1">
      <c r="A13" s="17" t="s">
        <v>206</v>
      </c>
      <c r="B13" s="18" t="s">
        <v>207</v>
      </c>
      <c r="C13" s="17" t="s">
        <v>26</v>
      </c>
      <c r="D13" s="17" t="s">
        <v>93</v>
      </c>
      <c r="E13" s="17" t="s">
        <v>6</v>
      </c>
      <c r="F13" s="17" t="s">
        <v>32</v>
      </c>
      <c r="G13" s="17" t="inlineStr">
        <is>
          <t xml:space="preserve">Resolved</t>
        </is>
      </c>
      <c r="H13" s="18" t="s">
        <v>604</v>
      </c>
      <c r="I13" s="34" t="inlineStr">
        <is>
          <t xml:space="preserve">Sewerage smell fixed &amp; monitored — resolved.</t>
        </is>
      </c>
      <c r="J13" s="17" t="inlineStr">
        <is>
          <t xml:space="preserve">None — closed</t>
        </is>
      </c>
      <c r="K13" s="17"/>
      <c r="L13" s="17" t="s">
        <v>593</v>
      </c>
      <c r="M13" s="17" t="s">
        <v>51</v>
      </c>
      <c r="N13" s="17" t="inlineStr">
        <is>
          <t xml:space="preserve">☑</t>
        </is>
      </c>
      <c r="O13" s="17"/>
    </row>
    <row r="14">
      <c r="A14" s="17" t="s">
        <v>69</v>
      </c>
      <c r="B14" s="18" t="s">
        <v>70</v>
      </c>
      <c r="C14" s="17" t="s">
        <v>71</v>
      </c>
      <c r="D14" s="17" t="s">
        <v>574</v>
      </c>
      <c r="E14" s="17" t="s">
        <v>6</v>
      </c>
      <c r="F14" s="17" t="s">
        <v>75</v>
      </c>
      <c r="G14" s="17" t="s">
        <v>571</v>
      </c>
      <c r="H14" s="18" t="s">
        <v>607</v>
      </c>
      <c r="I14" s="18"/>
      <c r="J14" s="17" t="s">
        <v>608</v>
      </c>
      <c r="K14" s="17"/>
      <c r="L14" s="17" t="s">
        <v>609</v>
      </c>
      <c r="M14" s="17" t="s">
        <v>51</v>
      </c>
      <c r="N14" s="17" t="s">
        <v>575</v>
      </c>
      <c r="O14" s="17"/>
    </row>
    <row r="15">
      <c r="A15" s="17" t="s">
        <v>137</v>
      </c>
      <c r="B15" s="18" t="s">
        <v>138</v>
      </c>
      <c r="C15" s="17" t="s">
        <v>26</v>
      </c>
      <c r="D15" s="17" t="inlineStr">
        <is>
          <t xml:space="preserve">01/08/2026</t>
        </is>
      </c>
      <c r="E15" s="17" t="s">
        <v>6</v>
      </c>
      <c r="F15" s="17" t="s">
        <v>32</v>
      </c>
      <c r="G15" s="17" t="s">
        <v>571</v>
      </c>
      <c r="H15" s="18" t="s">
        <v>610</v>
      </c>
      <c r="I15" s="18" t="inlineStr">
        <is>
          <t xml:space="preserve">Renewal not due yet — follow up 01/08/2026</t>
        </is>
      </c>
      <c r="J15" s="17" t="s">
        <v>611</v>
      </c>
      <c r="K15" s="17"/>
      <c r="L15" s="17" t="inlineStr">
        <is>
          <t xml:space="preserve">01/08/2026</t>
        </is>
      </c>
      <c r="M15" s="17" t="s">
        <v>27</v>
      </c>
      <c r="N15" s="17" t="s">
        <v>575</v>
      </c>
      <c r="O15" s="17"/>
    </row>
    <row r="16" ht="22.5" customHeight="1">
      <c r="A16" s="17" t="s">
        <v>394</v>
      </c>
      <c r="B16" s="18" t="s">
        <v>395</v>
      </c>
      <c r="C16" s="17" t="s">
        <v>26</v>
      </c>
      <c r="D16" s="17" t="inlineStr">
        <is>
          <t xml:space="preserve">12/06/2026</t>
        </is>
      </c>
      <c r="E16" s="17" t="s">
        <v>6</v>
      </c>
      <c r="F16" s="17" t="s">
        <v>32</v>
      </c>
      <c r="G16" s="17" t="inlineStr">
        <is>
          <t xml:space="preserve">Marketing</t>
        </is>
      </c>
      <c r="H16" s="18" t="inlineStr">
        <is>
          <t xml:space="preserve">Allevia B-29-01 avail 01/07/2026 — For Rent RM9,500/mo OR For Sale RM2.3mil; find tenant or buyer</t>
        </is>
      </c>
      <c r="I16" s="18" t="inlineStr">
        <is>
          <t xml:space="preserve">Marketing Allevia B-29-01 from 09/06 (rent RM9,500 / sale RM2.3m). B-22-01 let by another agent (Nick Lu) 15/06. MATCHED prospect: Aaron (L063) for B-29-01 rent — arranging viewing.</t>
        </is>
      </c>
      <c r="J16" s="17" t="inlineStr">
        <is>
          <t xml:space="preserve">Market for rent (RM9,500/mo) &amp; sale (RM2.3mil); match to active leads</t>
        </is>
      </c>
      <c r="K16" s="17"/>
      <c r="L16" s="17" t="s">
        <v>574</v>
      </c>
      <c r="M16" s="17" t="s">
        <v>51</v>
      </c>
      <c r="N16" s="17" t="s">
        <v>575</v>
      </c>
      <c r="O16" s="17"/>
    </row>
    <row r="17" ht="22.5" customHeight="1">
      <c r="A17" s="17" t="inlineStr">
        <is>
          <t>L059</t>
        </is>
      </c>
      <c r="B17" s="18" t="inlineStr">
        <is>
          <t>Ms Norain</t>
        </is>
      </c>
      <c r="C17" s="17" t="inlineStr">
        <is>
          <t>Malaysian</t>
        </is>
      </c>
      <c r="D17" s="17" t="inlineStr">
        <is>
          <t xml:space="preserve">12/06/2026</t>
        </is>
      </c>
      <c r="E17" s="17" t="inlineStr">
        <is>
          <t>WhatsApp</t>
        </is>
      </c>
      <c r="F17" s="17" t="inlineStr">
        <is>
          <t>Hot 🔥</t>
        </is>
      </c>
      <c r="G17" s="17" t="inlineStr">
        <is>
          <t xml:space="preserve">Listing active — sourcing tenant</t>
        </is>
      </c>
      <c r="H17" s="18" t="inlineStr">
        <is>
          <t xml:space="preserve">Astrea MK 12-07 — master rental listing @ RM7,500/mo (owner Ms Norain)</t>
        </is>
      </c>
      <c r="I17" s="18" t="inlineStr">
        <is>
          <t xml:space="preserve">Showing 10/06 done — Korean tenant Ms Yoon not keen. Sourcing another tenant.</t>
        </is>
      </c>
      <c r="J17" s="17" t="inlineStr">
        <is>
          <t xml:space="preserve">Source new tenant for Astrea 12-07 @ RM7,500/mo; market iProperty/PG + China network.</t>
        </is>
      </c>
      <c r="K17" s="17" t="inlineStr">
        <is>
          <t xml:space="preserve">—</t>
        </is>
      </c>
      <c r="L17" s="17"/>
      <c r="M17" s="17" t="inlineStr">
        <is>
          <t>Malay, English</t>
        </is>
      </c>
      <c r="N17" s="17" t="inlineStr">
        <is>
          <t>☐</t>
        </is>
      </c>
      <c r="O17" s="17" t="inlineStr">
        <is>
          <t xml:space="preserve">Tenant prospect: Ms Yoon (Korean). Co-agent (tenant side): Kenie Yow.</t>
        </is>
      </c>
    </row>
    <row r="18" ht="22.5" customHeight="1">
      <c r="A18" s="17" t="inlineStr">
        <is>
          <t xml:space="preserve">L060</t>
        </is>
      </c>
      <c r="B18" s="18" t="inlineStr">
        <is>
          <t xml:space="preserve">Aisyah Hamid</t>
        </is>
      </c>
      <c r="C18" s="17" t="inlineStr">
        <is>
          <t xml:space="preserve">Malaysian</t>
        </is>
      </c>
      <c r="D18" s="17" t="inlineStr">
        <is>
          <t xml:space="preserve">12/06/2026</t>
        </is>
      </c>
      <c r="E18" s="17" t="inlineStr">
        <is>
          <t xml:space="preserve">WhatsApp</t>
        </is>
      </c>
      <c r="F18" s="17" t="inlineStr">
        <is>
          <t xml:space="preserve">Hot 🔥</t>
        </is>
      </c>
      <c r="G18" s="17" t="inlineStr">
        <is>
          <t xml:space="preserve">Removed — not pursuing</t>
        </is>
      </c>
      <c r="H18" s="18" t="inlineStr">
        <is>
          <t xml:space="preserve">F&amp;B shoplot search — ground floor, Gombak (KLTS), ~RM6k/mo</t>
        </is>
      </c>
      <c r="I18" s="18" t="inlineStr">
        <is>
          <t xml:space="preserve">New iProperty lead. Existing outlets: JNC Burger Bangi &amp; Bukit Jelutong. Traffic-check follow-up sent 09/06 (she scouted weekday foot traffic Mon).</t>
        </is>
      </c>
      <c r="J18" s="17" t="inlineStr">
        <is>
          <t xml:space="preserve">Contact to qualify (size/budget/location); source ground-floor shoplots in Gombak</t>
        </is>
      </c>
      <c r="K18" s="17"/>
      <c r="L18" s="17"/>
      <c r="M18" s="17" t="inlineStr">
        <is>
          <t xml:space="preserve">Malay, English</t>
        </is>
      </c>
      <c r="N18" s="17" t="inlineStr">
        <is>
          <t xml:space="preserve">✓</t>
        </is>
      </c>
      <c r="O18" s="17" t="inlineStr">
        <is>
          <t xml:space="preserve">Plans to move in Aug 2026; observing weekday foot traffic (Mon) — follow up Tue.</t>
        </is>
      </c>
    </row>
    <row r="19" ht="22.5" customHeight="1">
      <c r="A19" s="17" t="inlineStr">
        <is>
          <t xml:space="preserve">L061</t>
        </is>
      </c>
      <c r="B19" s="18" t="inlineStr">
        <is>
          <t xml:space="preserve">Nas (Kenangan Coffee)</t>
        </is>
      </c>
      <c r="C19" s="17" t="inlineStr">
        <is>
          <t xml:space="preserve">Malaysian</t>
        </is>
      </c>
      <c r="D19" s="17" t="inlineStr">
        <is>
          <t xml:space="preserve">11/06/2026</t>
        </is>
      </c>
      <c r="E19" s="17" t="inlineStr">
        <is>
          <t xml:space="preserve">WhatsApp</t>
        </is>
      </c>
      <c r="F19" s="17" t="inlineStr">
        <is>
          <t xml:space="preserve">Hot 🔥</t>
        </is>
      </c>
      <c r="G19" s="17" t="inlineStr">
        <is>
          <t xml:space="preserve">Offer letter signed — deposit pending</t>
        </is>
      </c>
      <c r="H19" s="18" t="inlineStr">
        <is>
          <t xml:space="preserve">KLTS Setapak 51-G-1 (Patrick Chow) — offer RM8,500(yr1)/RM9,000(yr2-3), 3+3yrs</t>
        </is>
      </c>
      <c r="I19" s="18" t="inlineStr">
        <is>
          <t xml:space="preserve">✅ Offer letter SIGNED. Earnest deposit pending payment (in process).</t>
        </is>
      </c>
      <c r="J19" s="17" t="inlineStr">
        <is>
          <t xml:space="preserve">Collect earnest deposit; then handover.</t>
        </is>
      </c>
      <c r="K19" s="17" t="inlineStr">
        <is>
          <t xml:space="preserve">16/06/2026 (Tue) 11am — measurement w/ team</t>
        </is>
      </c>
      <c r="L19" s="17"/>
      <c r="M19" s="17" t="inlineStr">
        <is>
          <t xml:space="preserve">Malay, English</t>
        </is>
      </c>
      <c r="N19" s="17" t="inlineStr">
        <is>
          <t xml:space="preserve">☐</t>
        </is>
      </c>
      <c r="O19" s="17" t="inlineStr">
        <is>
          <t xml:space="preserve">For Patrick Chow's KLTS Gombak vacancy (L005).</t>
        </is>
      </c>
    </row>
    <row r="20" ht="22.5" customHeight="1">
      <c r="A20" s="17" t="inlineStr">
        <is>
          <t xml:space="preserve">L062</t>
        </is>
      </c>
      <c r="B20" s="18" t="inlineStr">
        <is>
          <t xml:space="preserve">Stephanie</t>
        </is>
      </c>
      <c r="C20" s="17" t="inlineStr">
        <is>
          <t xml:space="preserve">Malaysian</t>
        </is>
      </c>
      <c r="D20" s="17" t="inlineStr">
        <is>
          <t xml:space="preserve">26/06/2026</t>
        </is>
      </c>
      <c r="E20" s="17" t="inlineStr">
        <is>
          <t xml:space="preserve">WhatsApp</t>
        </is>
      </c>
      <c r="F20" s="17" t="inlineStr">
        <is>
          <t xml:space="preserve">Hot 🔥</t>
        </is>
      </c>
      <c r="G20" s="17" t="inlineStr">
        <is>
          <t xml:space="preserve">Viewed Ooak — considering</t>
        </is>
      </c>
      <c r="H20" s="18" t="inlineStr">
        <is>
          <t xml:space="preserve">Tenant ~RM6k/mo. Showing Ooak Suites (Mon 22/06) — co-agent Cindy. (Viewed Astrea 20-01 earlier.)</t>
        </is>
      </c>
      <c r="I20" s="18" t="inlineStr">
        <is>
          <t xml:space="preserve">Viewed Ooak Suites 22/06; in consideration. (vs Astrea 20-01.)</t>
        </is>
      </c>
      <c r="J20" s="17" t="inlineStr">
        <is>
          <t xml:space="preserve">Follow up on decision; compare Ooak vs Astrea 20-01.</t>
        </is>
      </c>
      <c r="K20" s="17" t="inlineStr">
        <is>
          <t xml:space="preserve">22/06/2026 (Mon) 10am — Ooak Suites showing</t>
        </is>
      </c>
      <c r="L20" s="17"/>
      <c r="M20" s="17" t="inlineStr">
        <is>
          <t xml:space="preserve">English, Chinese, Cantonese</t>
        </is>
      </c>
      <c r="N20" s="17" t="inlineStr">
        <is>
          <t xml:space="preserve">☐</t>
        </is>
      </c>
      <c r="O20" s="17" t="inlineStr">
        <is>
          <t xml:space="preserve">Co-agent: Cindy (Ooak Suites).</t>
        </is>
      </c>
    </row>
    <row r="21" ht="22.5" customHeight="1">
      <c r="A21" s="17" t="inlineStr">
        <is>
          <t xml:space="preserve">L063</t>
        </is>
      </c>
      <c r="B21" s="18" t="inlineStr">
        <is>
          <t xml:space="preserve">Aaron</t>
        </is>
      </c>
      <c r="C21" s="17" t="inlineStr">
        <is>
          <t xml:space="preserve">Malaysian</t>
        </is>
      </c>
      <c r="D21" s="17" t="inlineStr">
        <is>
          <t xml:space="preserve">11/06/2026</t>
        </is>
      </c>
      <c r="E21" s="17" t="inlineStr">
        <is>
          <t xml:space="preserve">WhatsApp</t>
        </is>
      </c>
      <c r="F21" s="17" t="inlineStr">
        <is>
          <t xml:space="preserve">Hot 🔥</t>
        </is>
      </c>
      <c r="G21" s="17" t="inlineStr">
        <is>
          <t xml:space="preserve">Arranging viewing</t>
        </is>
      </c>
      <c r="H21" s="18" t="inlineStr">
        <is>
          <t xml:space="preserve">Tenant — Allevia Tower A 3BR, RM8–12k/mo (also owns A-29-02)</t>
        </is>
      </c>
      <c r="I21" s="18" t="inlineStr">
        <is>
          <t xml:space="preserve">Matched to Sharavana's Allevia B-29-01 (RM9,500/mo). A-29-02 owner-occupied — not for listing.</t>
        </is>
      </c>
      <c r="J21" s="17" t="inlineStr">
        <is>
          <t xml:space="preserve">Arrange viewing of Allevia B-29-01 with Sharavana; confirm date/time.</t>
        </is>
      </c>
      <c r="K21" s="17"/>
      <c r="L21" s="17"/>
      <c r="M21" s="17" t="inlineStr">
        <is>
          <t xml:space="preserve">English</t>
        </is>
      </c>
      <c r="N21" s="17" t="inlineStr">
        <is>
          <t xml:space="preserve">☐</t>
        </is>
      </c>
      <c r="O21" s="17" t="inlineStr">
        <is>
          <t xml:space="preserve">Also owner of Allevia A-29-02 — potential listing.</t>
        </is>
      </c>
    </row>
    <row r="22" ht="22.5" customHeight="1">
      <c r="A22" s="17" t="inlineStr">
        <is>
          <t xml:space="preserve">L064</t>
        </is>
      </c>
      <c r="B22" s="18" t="inlineStr">
        <is>
          <t xml:space="preserve">Eleena</t>
        </is>
      </c>
      <c r="C22" s="17" t="inlineStr">
        <is>
          <t xml:space="preserve">Malaysian</t>
        </is>
      </c>
      <c r="D22" s="17" t="inlineStr">
        <is>
          <t xml:space="preserve">26/06/2026</t>
        </is>
      </c>
      <c r="E22" s="17" t="inlineStr">
        <is>
          <t xml:space="preserve">WhatsApp</t>
        </is>
      </c>
      <c r="F22" s="17" t="inlineStr">
        <is>
          <t xml:space="preserve">Hot 🔥</t>
        </is>
      </c>
      <c r="G22" s="17" t="inlineStr">
        <is>
          <t xml:space="preserve">Viewed 16/06 — awaiting response</t>
        </is>
      </c>
      <c r="H22" s="18" t="inlineStr">
        <is>
          <t xml:space="preserve">Office lot (1 unit) Plaza MK Tower A — 500–800sf, RM2,500–3,000/mo, 2yr</t>
        </is>
      </c>
      <c r="I22" s="18" t="inlineStr">
        <is>
          <t xml:space="preserve">Viewed Block B &amp; E (Plaza MK) 16/06; no response yet.</t>
        </is>
      </c>
      <c r="J22" s="17" t="inlineStr">
        <is>
          <t xml:space="preserve">Gentle follow-up on decision (Block B vs E).</t>
        </is>
      </c>
      <c r="K22" s="17" t="inlineStr">
        <is>
          <t xml:space="preserve">16/06/2026 (Tue) 2pm Block B; 2:30pm Block E</t>
        </is>
      </c>
      <c r="L22" s="17"/>
      <c r="M22" s="17" t="inlineStr">
        <is>
          <t xml:space="preserve">Malay, English</t>
        </is>
      </c>
      <c r="N22" s="17" t="inlineStr">
        <is>
          <t xml:space="preserve">☐</t>
        </is>
      </c>
      <c r="O22" s="17" t="inlineStr">
        <is>
          <t xml:space="preserve">Co-agents: Sherena Loh +60126328583 (Block B); Kate +60122178588 (Block E).</t>
        </is>
      </c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2">
    <mergeCell ref="A1:N1"/>
    <mergeCell ref="A2:N2"/>
  </mergeCell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8.0"/>
    <col customWidth="1" min="2" max="2" width="18.0"/>
    <col customWidth="1" min="3" max="3" width="16.0"/>
    <col customWidth="1" min="4" max="4" width="28.0"/>
    <col customWidth="1" min="5" max="5" width="18.0"/>
    <col customWidth="1" min="6" max="6" width="10.0"/>
    <col customWidth="1" min="7" max="7" width="24.0"/>
    <col customWidth="1" min="8" max="8" width="18.0"/>
    <col customWidth="1" min="9" max="9" width="8.0"/>
    <col customWidth="1" min="10" max="10" width="16.0"/>
    <col customWidth="1" min="11" max="13" width="13.0"/>
    <col customWidth="1" min="14" max="14" width="14.0"/>
    <col customWidth="1" min="15" max="15" width="36.0"/>
    <col customWidth="1" min="16" max="26" width="8.71"/>
  </cols>
  <sheetData>
    <row r="1" ht="37.5" customHeight="1">
      <c r="A1" s="1" t="s">
        <v>614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</row>
    <row r="2" ht="16.5" customHeight="1">
      <c r="A2" s="4" t="s">
        <v>615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6"/>
    </row>
    <row r="3" ht="21.75" customHeight="1">
      <c r="A3" s="7" t="s">
        <v>616</v>
      </c>
      <c r="B3" s="7" t="s">
        <v>617</v>
      </c>
      <c r="C3" s="7" t="s">
        <v>4</v>
      </c>
      <c r="D3" s="7" t="s">
        <v>618</v>
      </c>
      <c r="E3" s="7" t="s">
        <v>13</v>
      </c>
      <c r="F3" s="7" t="s">
        <v>619</v>
      </c>
      <c r="G3" s="7" t="s">
        <v>620</v>
      </c>
      <c r="H3" s="7" t="s">
        <v>621</v>
      </c>
      <c r="I3" s="7" t="s">
        <v>622</v>
      </c>
      <c r="J3" s="7" t="s">
        <v>623</v>
      </c>
      <c r="K3" s="7" t="s">
        <v>624</v>
      </c>
      <c r="L3" s="7" t="s">
        <v>625</v>
      </c>
      <c r="M3" s="7" t="s">
        <v>626</v>
      </c>
      <c r="N3" s="7" t="s">
        <v>627</v>
      </c>
      <c r="O3" s="7" t="s">
        <v>22</v>
      </c>
    </row>
    <row r="4" ht="22.5" customHeight="1">
      <c r="A4" s="11" t="s">
        <v>628</v>
      </c>
      <c r="B4" s="12" t="s">
        <v>40</v>
      </c>
      <c r="C4" s="11" t="s">
        <v>26</v>
      </c>
      <c r="D4" s="12" t="inlineStr">
        <is>
          <t xml:space="preserve">Hartamas Hts land — Lot 58629, No.21 (6,500sf)</t>
        </is>
      </c>
      <c r="E4" s="11" t="inlineStr">
        <is>
          <t xml:space="preserve">Hartamas Heights</t>
        </is>
      </c>
      <c r="F4" s="11" t="s">
        <v>631</v>
      </c>
      <c r="G4" s="11" t="inlineStr">
        <is>
          <t xml:space="preserve">✅ Offer Letter Signed + Deposit In — SPA next</t>
        </is>
      </c>
      <c r="H4" s="36">
        <v>5622500</v>
      </c>
      <c r="I4" s="51">
        <v>0.01</v>
      </c>
      <c r="J4" s="38">
        <f t="shared" ref="J4:J8" si="1">H4*I4</f>
        <v>56225</v>
      </c>
      <c r="K4" s="11" t="inlineStr">
        <is>
          <t xml:space="preserve">18/06/2026</t>
        </is>
      </c>
      <c r="L4" s="11"/>
      <c r="M4" s="11"/>
      <c r="N4" s="11"/>
      <c r="O4" s="12" t="inlineStr">
        <is>
          <t xml:space="preserve">✅ OFFER LETTER SIGNED + earnest deposit cheque collected. 6,500sf Hartamas Heights land @ RM865psf (RM5,622,500). Next: SPA → completion. Co-broke 50/50 Caydence; Spencer share RM56,225.</t>
        </is>
      </c>
    </row>
    <row r="5" ht="32.25" customHeight="1">
      <c r="A5" s="17" t="s">
        <v>634</v>
      </c>
      <c r="B5" s="18" t="s">
        <v>88</v>
      </c>
      <c r="C5" s="17" t="s">
        <v>89</v>
      </c>
      <c r="D5" s="18" t="s">
        <v>635</v>
      </c>
      <c r="E5" s="17" t="s">
        <v>56</v>
      </c>
      <c r="F5" s="17" t="s">
        <v>631</v>
      </c>
      <c r="G5" s="17" t="s">
        <v>636</v>
      </c>
      <c r="H5" s="39">
        <v>2000000.0</v>
      </c>
      <c r="I5" s="40">
        <v>0.02</v>
      </c>
      <c r="J5" s="41">
        <f t="shared" si="1"/>
        <v>40000</v>
      </c>
      <c r="K5" s="17"/>
      <c r="L5" s="17"/>
      <c r="M5" s="17"/>
      <c r="N5" s="17"/>
      <c r="O5" s="18" t="s">
        <v>637</v>
      </c>
    </row>
    <row r="6" ht="22.5" customHeight="1">
      <c r="A6" s="42" t="s">
        <v>638</v>
      </c>
      <c r="B6" s="43" t="s">
        <v>639</v>
      </c>
      <c r="C6" s="42" t="s">
        <v>640</v>
      </c>
      <c r="D6" s="43" t="inlineStr">
        <is>
          <t xml:space="preserve">Hijauan Kiara / Trinity Pentamont</t>
        </is>
      </c>
      <c r="E6" s="42" t="s">
        <v>56</v>
      </c>
      <c r="F6" s="42" t="s">
        <v>631</v>
      </c>
      <c r="G6" s="42" t="inlineStr">
        <is>
          <t xml:space="preserve">Viewing / Shortlisting</t>
        </is>
      </c>
      <c r="H6" s="44">
        <v>1800000.0</v>
      </c>
      <c r="I6" s="45">
        <v>0.02</v>
      </c>
      <c r="J6" s="46">
        <f t="shared" si="1"/>
        <v>36000</v>
      </c>
      <c r="K6" s="42"/>
      <c r="L6" s="42"/>
      <c r="M6" s="42"/>
      <c r="N6" s="42"/>
      <c r="O6" s="43" t="inlineStr">
        <is>
          <t xml:space="preserve">German cash buyer (own stay then rent). Prefer Hijauan Kiara + Trinity Pentamont (RM1.75m Lvl 2, below mkt, iProperty — keen to view). Open balcony only.</t>
        </is>
      </c>
    </row>
    <row r="7" ht="22.5" customHeight="1">
      <c r="A7" s="14" t="s">
        <v>644</v>
      </c>
      <c r="B7" s="15" t="s">
        <v>79</v>
      </c>
      <c r="C7" s="14" t="s">
        <v>80</v>
      </c>
      <c r="D7" s="15" t="s">
        <v>645</v>
      </c>
      <c r="E7" s="14" t="s">
        <v>56</v>
      </c>
      <c r="F7" s="14" t="s">
        <v>631</v>
      </c>
      <c r="G7" s="14" t="inlineStr">
        <is>
          <t xml:space="preserve">Searching — paused (not ready)</t>
        </is>
      </c>
      <c r="H7" s="47">
        <v>2000000.0</v>
      </c>
      <c r="I7" s="48">
        <v>0.02</v>
      </c>
      <c r="J7" s="49">
        <f t="shared" si="1"/>
        <v>40000</v>
      </c>
      <c r="K7" s="14"/>
      <c r="L7" s="14"/>
      <c r="M7" s="14"/>
      <c r="N7" s="14"/>
      <c r="O7" s="15" t="s">
        <v>647</v>
      </c>
    </row>
    <row r="8" ht="32.25" customHeight="1">
      <c r="A8" s="8" t="s">
        <v>648</v>
      </c>
      <c r="B8" s="9" t="s">
        <v>96</v>
      </c>
      <c r="C8" s="8" t="s">
        <v>475</v>
      </c>
      <c r="D8" s="9" t="s">
        <v>649</v>
      </c>
      <c r="E8" s="8" t="s">
        <v>56</v>
      </c>
      <c r="F8" s="8" t="s">
        <v>631</v>
      </c>
      <c r="G8" s="8" t="s">
        <v>650</v>
      </c>
      <c r="H8" s="50">
        <v>4500000</v>
      </c>
      <c r="I8" s="51">
        <v>0.015</v>
      </c>
      <c r="J8" s="52">
        <f t="shared" si="1"/>
        <v>67500</v>
      </c>
      <c r="K8" s="8"/>
      <c r="L8" s="8"/>
      <c r="M8" s="8"/>
      <c r="N8" s="8"/>
      <c r="O8" s="9" t="inlineStr">
        <is>
          <t xml:space="preserve">Umesh MAX RM4.5m (opening RM4.3m), AB-39-02 MK 10. Owner floor RM4.7m. 3% comm CO-BROKE 50/50 -&gt; Spencer share 1.5% (RM67,500 @ RM4.5m). Loan buyer, 70% margin. May stretch if he loves it post-viewing. Booking form first (no payment), viewing after.</t>
        </is>
      </c>
    </row>
    <row r="9" ht="32.25" customHeight="1">
      <c r="A9" s="8" t="inlineStr">
        <is>
          <t xml:space="preserve">D008</t>
        </is>
      </c>
      <c r="B9" s="9" t="inlineStr">
        <is>
          <t xml:space="preserve">Nas (Kenangan Coffee)</t>
        </is>
      </c>
      <c r="C9" s="8" t="inlineStr">
        <is>
          <t xml:space="preserve">Malaysia</t>
        </is>
      </c>
      <c r="D9" s="9" t="inlineStr">
        <is>
          <t xml:space="preserve">KLTS Setapak 51-G-1 (Patrick Chow)</t>
        </is>
      </c>
      <c r="E9" s="8" t="inlineStr">
        <is>
          <t xml:space="preserve">Gombak</t>
        </is>
      </c>
      <c r="F9" s="8" t="inlineStr">
        <is>
          <t xml:space="preserve">Rental</t>
        </is>
      </c>
      <c r="G9" s="8" t="inlineStr">
        <is>
          <t xml:space="preserve">Offer letter signed — deposit pending</t>
        </is>
      </c>
      <c r="H9" s="50">
        <v>8500</v>
      </c>
      <c r="I9" s="51"/>
      <c r="J9" s="52">
        <v>8500</v>
      </c>
      <c r="K9" s="8"/>
      <c r="L9" s="8"/>
      <c r="M9" s="8"/>
      <c r="N9" s="8"/>
      <c r="O9" s="9" t="inlineStr">
        <is>
          <t xml:space="preserve">✅ CLOSED. Kenangan Coffee tenant for Patrick Chow KLTS Setapak 51-G-1. RM8,500(yr1)/RM9,000(yr2-3), 3+3yrs. Pending sign offer letter &amp; collect earnest deposit. Comm = 1 mth rent.</t>
        </is>
      </c>
    </row>
    <row r="10" ht="32.25" customHeight="1">
      <c r="A10" s="8" t="inlineStr">
        <is>
          <t xml:space="preserve">D009</t>
        </is>
      </c>
      <c r="B10" s="9" t="inlineStr">
        <is>
          <t xml:space="preserve">Stephanie</t>
        </is>
      </c>
      <c r="C10" s="8" t="inlineStr">
        <is>
          <t xml:space="preserve">Malaysia</t>
        </is>
      </c>
      <c r="D10" s="9" t="inlineStr">
        <is>
          <t xml:space="preserve">Astrea Mont Kiara (20-01 viewed)</t>
        </is>
      </c>
      <c r="E10" s="8" t="inlineStr">
        <is>
          <t xml:space="preserve">Mont Kiara</t>
        </is>
      </c>
      <c r="F10" s="8" t="inlineStr">
        <is>
          <t xml:space="preserve">Rental</t>
        </is>
      </c>
      <c r="G10" s="8" t="inlineStr">
        <is>
          <t xml:space="preserve">Viewing — Gauging Interest</t>
        </is>
      </c>
      <c r="H10" s="50">
        <v>6000</v>
      </c>
      <c r="I10" s="51"/>
      <c r="J10" s="52">
        <v>6000</v>
      </c>
      <c r="K10" s="8"/>
      <c r="L10" s="8"/>
      <c r="M10" s="8"/>
      <c r="N10" s="8"/>
      <c r="O10" s="9" t="inlineStr">
        <is>
          <t xml:space="preserve">Viewed Astrea 20-01 (1,828sf 3BR). Budget RM6k/mo. Comm = 1 mth rent.</t>
        </is>
      </c>
    </row>
    <row r="11" ht="32.25" customHeight="1">
      <c r="A11" s="8" t="inlineStr">
        <is>
          <t xml:space="preserve">D010</t>
        </is>
      </c>
      <c r="B11" s="9" t="inlineStr">
        <is>
          <t xml:space="preserve">Aaron</t>
        </is>
      </c>
      <c r="C11" s="8" t="inlineStr">
        <is>
          <t xml:space="preserve">Malaysia</t>
        </is>
      </c>
      <c r="D11" s="9" t="inlineStr">
        <is>
          <t xml:space="preserve">Allevia B-29-01 (3BR) — Sharavana unit</t>
        </is>
      </c>
      <c r="E11" s="8" t="inlineStr">
        <is>
          <t xml:space="preserve">Mont Kiara</t>
        </is>
      </c>
      <c r="F11" s="8" t="inlineStr">
        <is>
          <t xml:space="preserve">Rental</t>
        </is>
      </c>
      <c r="G11" s="8" t="inlineStr">
        <is>
          <t xml:space="preserve">Viewing arranging</t>
        </is>
      </c>
      <c r="H11" s="50">
        <v>9500</v>
      </c>
      <c r="I11" s="51"/>
      <c r="J11" s="52">
        <v>9500</v>
      </c>
      <c r="K11" s="8"/>
      <c r="L11" s="8"/>
      <c r="M11" s="8"/>
      <c r="N11" s="8"/>
      <c r="O11" s="9" t="inlineStr">
        <is>
          <t xml:space="preserve">Matched to Sharavana's B-29-01 @ RM9,500/mo; arranging viewing. Aaron also owns A-29-02 (own stay, not listing). Comm = 1 mth rent.</t>
        </is>
      </c>
    </row>
    <row r="12" ht="32.25" customHeight="1">
      <c r="A12" s="8" t="inlineStr">
        <is>
          <t xml:space="preserve">D011</t>
        </is>
      </c>
      <c r="B12" s="9" t="inlineStr">
        <is>
          <t xml:space="preserve">Eleena</t>
        </is>
      </c>
      <c r="C12" s="8" t="inlineStr">
        <is>
          <t xml:space="preserve">Malaysia</t>
        </is>
      </c>
      <c r="D12" s="9" t="inlineStr">
        <is>
          <t xml:space="preserve">Plaza Mont Kiara Tower A (1 office lot)</t>
        </is>
      </c>
      <c r="E12" s="8" t="inlineStr">
        <is>
          <t xml:space="preserve">Mont Kiara</t>
        </is>
      </c>
      <c r="F12" s="8" t="inlineStr">
        <is>
          <t xml:space="preserve">Rental</t>
        </is>
      </c>
      <c r="G12" s="8" t="inlineStr">
        <is>
          <t xml:space="preserve">Viewing arranged 16/06</t>
        </is>
      </c>
      <c r="H12" s="50">
        <v>2750</v>
      </c>
      <c r="I12" s="51"/>
      <c r="J12" s="52">
        <v>2750</v>
      </c>
      <c r="K12" s="8"/>
      <c r="L12" s="8"/>
      <c r="M12" s="8"/>
      <c r="N12" s="8"/>
      <c r="O12" s="9" t="inlineStr">
        <is>
          <t xml:space="preserve">Law firm — 1 office lot Plaza MK. Viewing 16/06: Block B 750sf RM3k / Block E 800sf RM2.8k. 2yr, move-in Jul/Aug. Comm = 1 mth rent.</t>
        </is>
      </c>
    </row>
    <row r="13" ht="32.25" customHeight="1">
      <c r="A13" s="8" t="inlineStr">
        <is>
          <t xml:space="preserve">D012</t>
        </is>
      </c>
      <c r="B13" s="9" t="inlineStr">
        <is>
          <t xml:space="preserve">Datuk Francis (seller)</t>
        </is>
      </c>
      <c r="C13" s="8" t="inlineStr">
        <is>
          <t xml:space="preserve">Malaysia</t>
        </is>
      </c>
      <c r="D13" s="9" t="inlineStr">
        <is>
          <t xml:space="preserve">Mulberi 13A-02 (Datuk) — SOLD</t>
        </is>
      </c>
      <c r="E13" s="8"/>
      <c r="F13" s="8" t="inlineStr">
        <is>
          <t xml:space="preserve">Sale</t>
        </is>
      </c>
      <c r="G13" s="8" t="inlineStr">
        <is>
          <t xml:space="preserve">✅ SOLD RM420k</t>
        </is>
      </c>
      <c r="H13" s="50">
        <v>420000</v>
      </c>
      <c r="I13" s="51">
        <v>0.015</v>
      </c>
      <c r="J13" s="52">
        <v>6300</v>
      </c>
      <c r="K13" s="8"/>
      <c r="L13" s="8"/>
      <c r="M13" s="8"/>
      <c r="N13" s="8"/>
      <c r="O13" s="9" t="inlineStr">
        <is>
          <t xml:space="preserve">✅ SOLD: Datuk's 13A-02 Mulberi @ RM420,000. Co-broke 50/50 w/ Caydence; Spencer share 1.5% = RM6,300. 13A-03A still listed @ RM420k.</t>
        </is>
      </c>
    </row>
    <row r="14">
      <c r="A14" s="53" t="inlineStr">
        <is>
          <t xml:space="preserve">TOTAL ESTIMATED COMMISSION (if all close)</t>
        </is>
      </c>
      <c r="B14" s="54"/>
      <c r="C14" s="54"/>
      <c r="D14" s="54"/>
      <c r="E14" s="54"/>
      <c r="F14" s="54"/>
      <c r="G14" s="54"/>
      <c r="H14" s="54"/>
      <c r="I14" s="55"/>
      <c r="J14" s="56">
        <f>SUM(J4:J13)</f>
        <v>272775</v>
      </c>
      <c r="K14" s="57"/>
      <c r="L14" s="57"/>
      <c r="M14" s="57"/>
      <c r="N14" s="57"/>
      <c r="O14" s="57"/>
    </row>
    <row r="15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</row>
    <row r="16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3">
    <mergeCell ref="A1:O1"/>
    <mergeCell ref="A2:O2"/>
    <mergeCell ref="A14:I14"/>
  </mergeCell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4A800"/>
    <pageSetUpPr/>
  </sheetPr>
  <sheetViews>
    <sheetView workbookViewId="0"/>
  </sheetViews>
  <sheetFormatPr customHeight="1" defaultColWidth="14.43" defaultRowHeight="15.0"/>
  <cols>
    <col customWidth="1" min="1" max="1" width="16.0"/>
    <col customWidth="1" min="2" max="2" width="18.0"/>
    <col customWidth="1" min="3" max="4" width="16.0"/>
    <col customWidth="1" min="5" max="5" width="14.0"/>
    <col customWidth="1" min="6" max="6" width="4.0"/>
    <col customWidth="1" min="7" max="7" width="6.0"/>
    <col customWidth="1" min="8" max="8" width="18.0"/>
    <col customWidth="1" min="9" max="10" width="14.0"/>
    <col customWidth="1" min="11" max="12" width="4.0"/>
    <col customWidth="1" min="13" max="26" width="8.71"/>
  </cols>
  <sheetData>
    <row r="1" ht="42.0" customHeight="1">
      <c r="A1" s="58" t="s">
        <v>653</v>
      </c>
      <c r="B1" s="2"/>
      <c r="C1" s="2"/>
      <c r="D1" s="2"/>
      <c r="E1" s="2"/>
      <c r="F1" s="2"/>
      <c r="G1" s="2"/>
      <c r="H1" s="2"/>
      <c r="I1" s="2"/>
      <c r="J1" s="2"/>
      <c r="K1" s="2"/>
      <c r="L1" s="3"/>
    </row>
    <row r="2" ht="18.0" customHeight="1">
      <c r="A2" s="59" t="s">
        <v>654</v>
      </c>
      <c r="B2" s="5"/>
      <c r="C2" s="5"/>
      <c r="D2" s="5"/>
      <c r="E2" s="5"/>
      <c r="F2" s="5"/>
      <c r="G2" s="5"/>
      <c r="H2" s="5"/>
      <c r="I2" s="5"/>
      <c r="J2" s="5"/>
      <c r="K2" s="5"/>
      <c r="L2" s="6"/>
    </row>
    <row r="3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</row>
    <row r="4" ht="19.5" customHeight="1">
      <c r="A4" s="60" t="s">
        <v>655</v>
      </c>
      <c r="B4" s="3"/>
      <c r="C4" s="25"/>
      <c r="D4" s="60" t="s">
        <v>656</v>
      </c>
      <c r="E4" s="3"/>
      <c r="F4" s="25"/>
      <c r="G4" s="60" t="s">
        <v>657</v>
      </c>
      <c r="H4" s="3"/>
      <c r="I4" s="25"/>
      <c r="J4" s="60" t="s">
        <v>658</v>
      </c>
      <c r="K4" s="3"/>
      <c r="L4" s="25"/>
    </row>
    <row r="5" ht="30.0" customHeight="1">
      <c r="A5" s="61" t="inlineStr">
        <is>
          <t>63</t>
        </is>
      </c>
      <c r="B5" s="55"/>
      <c r="C5" s="25"/>
      <c r="D5" s="61" t="inlineStr">
        <is>
          <t>12</t>
        </is>
      </c>
      <c r="E5" s="55"/>
      <c r="F5" s="25"/>
      <c r="G5" s="61" t="inlineStr">
        <is>
          <t>53</t>
        </is>
      </c>
      <c r="H5" s="55"/>
      <c r="I5" s="25"/>
      <c r="J5" s="61" t="s">
        <v>662</v>
      </c>
      <c r="K5" s="55"/>
      <c r="L5" s="25"/>
    </row>
    <row r="6" ht="15.75" customHeight="1">
      <c r="A6" s="62" t="s">
        <v>663</v>
      </c>
      <c r="B6" s="55"/>
      <c r="C6" s="25"/>
      <c r="D6" s="62" t="s">
        <v>664</v>
      </c>
      <c r="E6" s="55"/>
      <c r="F6" s="25"/>
      <c r="G6" s="62" t="s">
        <v>665</v>
      </c>
      <c r="H6" s="55"/>
      <c r="I6" s="25"/>
      <c r="J6" s="62" t="s">
        <v>666</v>
      </c>
      <c r="K6" s="55"/>
      <c r="L6" s="25"/>
    </row>
    <row r="7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</row>
    <row r="8" ht="19.5" customHeight="1">
      <c r="A8" s="60" t="s">
        <v>667</v>
      </c>
      <c r="B8" s="3"/>
      <c r="C8" s="25"/>
      <c r="D8" s="60" t="s">
        <v>668</v>
      </c>
      <c r="E8" s="3"/>
      <c r="F8" s="25"/>
      <c r="G8" s="60" t="s">
        <v>669</v>
      </c>
      <c r="H8" s="3"/>
      <c r="I8" s="25"/>
      <c r="J8" s="60" t="s">
        <v>670</v>
      </c>
      <c r="K8" s="3"/>
      <c r="L8" s="25"/>
    </row>
    <row r="9" ht="30.0" customHeight="1">
      <c r="A9" s="61" t="s">
        <v>671</v>
      </c>
      <c r="B9" s="55"/>
      <c r="C9" s="25"/>
      <c r="D9" s="61" t="inlineStr">
        <is>
          <t xml:space="preserve">RM 16.5mil</t>
        </is>
      </c>
      <c r="E9" s="55"/>
      <c r="F9" s="25"/>
      <c r="G9" s="61" t="inlineStr">
        <is>
          <t xml:space="preserve">RM 273k</t>
        </is>
      </c>
      <c r="H9" s="55"/>
      <c r="I9" s="25"/>
      <c r="J9" s="61" t="s">
        <v>674</v>
      </c>
      <c r="K9" s="55"/>
      <c r="L9" s="25"/>
    </row>
    <row r="10" ht="30.75" customHeight="1">
      <c r="A10" s="62" t="s">
        <v>675</v>
      </c>
      <c r="B10" s="55"/>
      <c r="C10" s="25"/>
      <c r="D10" s="62" t="inlineStr">
        <is>
          <t xml:space="preserve">10 active deals · 6 sale + 4 rent</t>
        </is>
      </c>
      <c r="E10" s="55"/>
      <c r="F10" s="25"/>
      <c r="G10" s="62" t="inlineStr">
        <is>
          <t xml:space="preserve">if all 10 close (incl 4 rentals)</t>
        </is>
      </c>
      <c r="H10" s="55"/>
      <c r="I10" s="25"/>
      <c r="J10" s="62" t="s">
        <v>678</v>
      </c>
      <c r="K10" s="55"/>
      <c r="L10" s="25"/>
    </row>
    <row r="11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</row>
    <row r="12">
      <c r="A12" s="63" t="s">
        <v>679</v>
      </c>
      <c r="B12" s="2"/>
      <c r="C12" s="2"/>
      <c r="D12" s="2"/>
      <c r="E12" s="3"/>
      <c r="F12" s="25"/>
      <c r="G12" s="63" t="s">
        <v>680</v>
      </c>
      <c r="H12" s="2"/>
      <c r="I12" s="2"/>
      <c r="J12" s="2"/>
      <c r="K12" s="2"/>
      <c r="L12" s="3"/>
    </row>
    <row r="13" ht="22.5" customHeight="1">
      <c r="A13" s="7" t="s">
        <v>681</v>
      </c>
      <c r="B13" s="7" t="s">
        <v>682</v>
      </c>
      <c r="C13" s="7" t="s">
        <v>683</v>
      </c>
      <c r="D13" s="7" t="s">
        <v>11</v>
      </c>
      <c r="E13" s="25"/>
      <c r="F13" s="25"/>
      <c r="G13" s="7" t="s">
        <v>4</v>
      </c>
      <c r="H13" s="7" t="s">
        <v>684</v>
      </c>
      <c r="I13" s="7" t="s">
        <v>685</v>
      </c>
      <c r="J13" s="7" t="s">
        <v>10</v>
      </c>
      <c r="K13" s="25"/>
      <c r="L13" s="25"/>
    </row>
    <row r="14" ht="24.0" customHeight="1">
      <c r="A14" s="26" t="s">
        <v>686</v>
      </c>
      <c r="B14" s="64">
        <v>100000.0</v>
      </c>
      <c r="C14" s="64">
        <f>B14/6</f>
        <v>16666.66667</v>
      </c>
      <c r="D14" s="21" t="s">
        <v>687</v>
      </c>
      <c r="E14" s="25"/>
      <c r="F14" s="25"/>
      <c r="G14" s="18" t="s">
        <v>688</v>
      </c>
      <c r="H14" s="17" t="s">
        <v>689</v>
      </c>
      <c r="I14" s="18" t="s">
        <v>82</v>
      </c>
      <c r="J14" s="18" t="s">
        <v>690</v>
      </c>
      <c r="K14" s="25"/>
      <c r="L14" s="25"/>
    </row>
    <row r="15" ht="24.0" customHeight="1">
      <c r="A15" s="26" t="s">
        <v>691</v>
      </c>
      <c r="B15" s="64">
        <v>260000.0</v>
      </c>
      <c r="C15" s="64">
        <f>B15/12</f>
        <v>21666.66667</v>
      </c>
      <c r="D15" s="21" t="s">
        <v>692</v>
      </c>
      <c r="E15" s="25"/>
      <c r="F15" s="25"/>
      <c r="G15" s="65" t="s">
        <v>693</v>
      </c>
      <c r="H15" s="66" t="s">
        <v>694</v>
      </c>
      <c r="I15" s="65" t="s">
        <v>6</v>
      </c>
      <c r="J15" s="65" t="s">
        <v>695</v>
      </c>
      <c r="K15" s="25"/>
      <c r="L15" s="25"/>
    </row>
    <row r="16" ht="24.0" customHeight="1">
      <c r="A16" s="67" t="s">
        <v>696</v>
      </c>
      <c r="B16" s="38">
        <v>16000.0</v>
      </c>
      <c r="C16" s="38">
        <f>B16/6</f>
        <v>2666.666667</v>
      </c>
      <c r="D16" s="11" t="s">
        <v>697</v>
      </c>
      <c r="E16" s="25"/>
      <c r="F16" s="25"/>
      <c r="G16" s="18" t="s">
        <v>698</v>
      </c>
      <c r="H16" s="17" t="s">
        <v>699</v>
      </c>
      <c r="I16" s="18" t="s">
        <v>6</v>
      </c>
      <c r="J16" s="18" t="s">
        <v>700</v>
      </c>
      <c r="K16" s="25"/>
      <c r="L16" s="25"/>
    </row>
    <row r="17" ht="32.25" customHeight="1">
      <c r="A17" s="25"/>
      <c r="B17" s="25"/>
      <c r="C17" s="25"/>
      <c r="D17" s="25"/>
      <c r="E17" s="25"/>
      <c r="F17" s="25"/>
      <c r="G17" s="65" t="s">
        <v>701</v>
      </c>
      <c r="H17" s="66" t="s">
        <v>702</v>
      </c>
      <c r="I17" s="65" t="s">
        <v>6</v>
      </c>
      <c r="J17" s="65" t="s">
        <v>700</v>
      </c>
      <c r="K17" s="25"/>
      <c r="L17" s="25"/>
    </row>
    <row r="18" ht="32.25" customHeight="1">
      <c r="A18" s="63" t="s">
        <v>703</v>
      </c>
      <c r="B18" s="2"/>
      <c r="C18" s="2"/>
      <c r="D18" s="2"/>
      <c r="E18" s="3"/>
      <c r="F18" s="25"/>
      <c r="G18" s="18" t="s">
        <v>704</v>
      </c>
      <c r="H18" s="17" t="s">
        <v>705</v>
      </c>
      <c r="I18" s="18" t="s">
        <v>706</v>
      </c>
      <c r="J18" s="18" t="s">
        <v>73</v>
      </c>
      <c r="K18" s="25"/>
      <c r="L18" s="25"/>
    </row>
    <row r="19">
      <c r="A19" s="7" t="s">
        <v>707</v>
      </c>
      <c r="B19" s="7" t="s">
        <v>4</v>
      </c>
      <c r="C19" s="7" t="s">
        <v>620</v>
      </c>
      <c r="D19" s="7" t="s">
        <v>623</v>
      </c>
      <c r="E19" s="25"/>
      <c r="F19" s="25"/>
      <c r="G19" s="63" t="s">
        <v>708</v>
      </c>
      <c r="H19" s="2"/>
      <c r="I19" s="2"/>
      <c r="J19" s="2"/>
      <c r="K19" s="2"/>
      <c r="L19" s="3"/>
    </row>
    <row r="20">
      <c r="A20" s="18" t="s">
        <v>40</v>
      </c>
      <c r="B20" s="18" t="s">
        <v>26</v>
      </c>
      <c r="C20" s="18" t="s">
        <v>632</v>
      </c>
      <c r="D20" s="17" t="s">
        <v>709</v>
      </c>
      <c r="E20" s="25"/>
      <c r="F20" s="25"/>
      <c r="G20" s="7" t="s">
        <v>710</v>
      </c>
      <c r="H20" s="68" t="s">
        <v>711</v>
      </c>
      <c r="I20" s="54"/>
      <c r="J20" s="54"/>
      <c r="K20" s="54"/>
      <c r="L20" s="55"/>
    </row>
    <row r="21" ht="35.25" customHeight="1">
      <c r="A21" s="65" t="s">
        <v>88</v>
      </c>
      <c r="B21" s="65" t="s">
        <v>89</v>
      </c>
      <c r="C21" s="65" t="s">
        <v>636</v>
      </c>
      <c r="D21" s="66" t="s">
        <v>712</v>
      </c>
      <c r="E21" s="25"/>
      <c r="F21" s="25"/>
      <c r="G21" s="69" t="s">
        <v>363</v>
      </c>
      <c r="H21" s="70" t="inlineStr">
        <is>
          <t xml:space="preserve">✅ WON — Datuk Francis Hartamas 6,500sf land RM5.6225m (co-broke 50/50 w/ Caydence, Spencer share RM56.2k); sign 15/06. Drive to SPA.</t>
        </is>
      </c>
      <c r="I21" s="54"/>
      <c r="J21" s="54"/>
      <c r="K21" s="54"/>
      <c r="L21" s="55"/>
    </row>
    <row r="22" ht="26.25" customHeight="1">
      <c r="A22" s="18" t="s">
        <v>639</v>
      </c>
      <c r="B22" s="18" t="s">
        <v>640</v>
      </c>
      <c r="C22" s="18" t="s">
        <v>642</v>
      </c>
      <c r="D22" s="17" t="s">
        <v>714</v>
      </c>
      <c r="E22" s="25"/>
      <c r="F22" s="25"/>
      <c r="G22" s="71" t="s">
        <v>168</v>
      </c>
      <c r="H22" s="72" t="s">
        <v>715</v>
      </c>
      <c r="I22" s="54"/>
      <c r="J22" s="54"/>
      <c r="K22" s="54"/>
      <c r="L22" s="55"/>
    </row>
    <row r="23" ht="22.5" customHeight="1">
      <c r="A23" s="65" t="s">
        <v>79</v>
      </c>
      <c r="B23" s="65" t="s">
        <v>80</v>
      </c>
      <c r="C23" s="65" t="s">
        <v>646</v>
      </c>
      <c r="D23" s="66" t="s">
        <v>712</v>
      </c>
      <c r="E23" s="25"/>
      <c r="F23" s="25"/>
      <c r="G23" s="69" t="s">
        <v>57</v>
      </c>
      <c r="H23" s="70" t="s">
        <v>716</v>
      </c>
      <c r="I23" s="54"/>
      <c r="J23" s="54"/>
      <c r="K23" s="54"/>
      <c r="L23" s="55"/>
    </row>
    <row r="24" ht="30.0" customHeight="1">
      <c r="A24" s="18" t="s">
        <v>96</v>
      </c>
      <c r="B24" s="18" t="s">
        <v>475</v>
      </c>
      <c r="C24" s="18" t="s">
        <v>650</v>
      </c>
      <c r="D24" s="17" t="s">
        <v>717</v>
      </c>
      <c r="E24" s="25"/>
      <c r="F24" s="25"/>
      <c r="G24" s="71" t="s">
        <v>129</v>
      </c>
      <c r="H24" s="72" t="s">
        <v>718</v>
      </c>
      <c r="I24" s="54"/>
      <c r="J24" s="54"/>
      <c r="K24" s="54"/>
      <c r="L24" s="55"/>
    </row>
    <row r="25" ht="29.25" customHeight="1">
      <c r="A25" s="25"/>
      <c r="B25" s="25"/>
      <c r="C25" s="25"/>
      <c r="D25" s="25"/>
      <c r="E25" s="25"/>
      <c r="F25" s="25"/>
      <c r="G25" s="69" t="s">
        <v>671</v>
      </c>
      <c r="H25" s="70" t="s">
        <v>719</v>
      </c>
      <c r="I25" s="54"/>
      <c r="J25" s="54"/>
      <c r="K25" s="54"/>
      <c r="L25" s="5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</row>
  </sheetData>
  <mergeCells count="36">
    <mergeCell ref="A1:L1"/>
    <mergeCell ref="A2:L2"/>
    <mergeCell ref="A4:B4"/>
    <mergeCell ref="D4:E4"/>
    <mergeCell ref="J4:K4"/>
    <mergeCell ref="D5:E5"/>
    <mergeCell ref="J5:K5"/>
    <mergeCell ref="D9:E9"/>
    <mergeCell ref="D10:E10"/>
    <mergeCell ref="G9:H9"/>
    <mergeCell ref="G10:H10"/>
    <mergeCell ref="G4:H4"/>
    <mergeCell ref="G5:H5"/>
    <mergeCell ref="G6:H6"/>
    <mergeCell ref="J6:K6"/>
    <mergeCell ref="G8:H8"/>
    <mergeCell ref="J8:K8"/>
    <mergeCell ref="J9:K9"/>
    <mergeCell ref="A12:E12"/>
    <mergeCell ref="A18:E18"/>
    <mergeCell ref="A5:B5"/>
    <mergeCell ref="A6:B6"/>
    <mergeCell ref="D6:E6"/>
    <mergeCell ref="A8:B8"/>
    <mergeCell ref="D8:E8"/>
    <mergeCell ref="A9:B9"/>
    <mergeCell ref="A10:B10"/>
    <mergeCell ref="H24:L24"/>
    <mergeCell ref="H25:L25"/>
    <mergeCell ref="J10:K10"/>
    <mergeCell ref="G12:L12"/>
    <mergeCell ref="G19:L19"/>
    <mergeCell ref="H20:L20"/>
    <mergeCell ref="H21:L21"/>
    <mergeCell ref="H22:L22"/>
    <mergeCell ref="H23:L23"/>
  </mergeCell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2026-06-04T05:27:39Z</dcterms:created>
  <dc:creator>openpyxl</dc:creator>
</cp:coreProperties>
</file>