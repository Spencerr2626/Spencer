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<sst xmlns="http://schemas.openxmlformats.org/spreadsheetml/2006/main" count="1559" uniqueCount="720">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</sst>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s">
        <v>37</v>
      </c>
      <c r="T4" s="8"/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1.0E7</v>
      </c>
      <c r="N5" s="13"/>
      <c r="O5" s="11"/>
      <c r="P5" s="12" t="s">
        <v>46</v>
      </c>
      <c r="Q5" s="12"/>
      <c r="R5" s="12"/>
      <c r="S5" s="11" t="inlineStr">
        <is>
          <t xml:space="preserve">07/06/2026</t>
        </is>
      </c>
      <c r="T5" s="11" t="inlineStr">
        <is>
          <t xml:space="preserve">09/06/2026</t>
        </is>
      </c>
      <c r="U5" s="12" t="s">
        <v>47</v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07/06/2026</t>
        </is>
      </c>
      <c r="T6" s="14" t="inlineStr">
        <is>
          <t xml:space="preserve">09/06/2026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07/06/2026</t>
        </is>
      </c>
      <c r="T7" s="14" t="inlineStr">
        <is>
          <t xml:space="preserve">09/06/2026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>
        <v>46178</v>
      </c>
      <c r="T12" s="76">
        <v>46181</v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>Arranged Appointment</t>
        </is>
      </c>
      <c r="K13" s="73" t="inlineStr">
        <is>
          <t>Hot 🔥</t>
        </is>
      </c>
      <c r="L13" s="74" t="inlineStr">
        <is>
          <t>Mont Kiara</t>
        </is>
      </c>
      <c r="M13" s="73"/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>
        <v>46181</v>
      </c>
      <c r="U13" s="75" t="inlineStr">
        <is>
          <t>Owner — unit for rent. Meeting with co-agent Angelin (+60 12-397 2889) on 08/06/2026 2.30pm.</t>
        </is>
      </c>
      <c r="V13" s="75" t="inlineStr">
        <is>
          <t>Owner / Rental listing</t>
        </is>
      </c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s">
        <v>399</v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08/06/2026</t>
        </is>
      </c>
      <c r="E5" s="11" t="s">
        <v>6</v>
      </c>
      <c r="F5" s="11" t="s">
        <v>32</v>
      </c>
      <c r="G5" s="11" t="s">
        <v>44</v>
      </c>
      <c r="H5" s="12" t="inlineStr">
        <is>
          <t xml:space="preserve">2 viewings — 09/06 (Tue) 4–6pm: bungalow viewings; 11/06: Sunway Kiara Hills (2 units RM4.5mil &amp; RM8mil)</t>
        </is>
      </c>
      <c r="I5" s="12" t="inlineStr">
        <is>
          <t xml:space="preserve">Both viewings confirmed</t>
        </is>
      </c>
      <c r="J5" s="11" t="inlineStr">
        <is>
          <t>Confirm both units &amp; prep</t>
        </is>
      </c>
      <c r="K5" s="11" t="inlineStr">
        <is>
          <t xml:space="preserve">09/06 (Tue) 4–6pm bungalows; 11/06 Sunway Kiara Hills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Both confirmed (09/06 &amp; 11/06)</t>
        </is>
      </c>
      <c r="O5" s="11" t="inlineStr">
        <is>
          <t>Confirmation sent 05/06 (for 12/6); rescheduled to 11/6 — resend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09/06/2026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3 units 07/06; prefers Hijauan Kiara &amp; MK Damai (not MK Aman). PSF (std layout, confirm exact): Hijauan ~RM704 (1.75m/2,487sf); MK Aman ~RM670 (1.45m/2,163sf); MK Damai ~RM784 (1.78m/2,272sf). Follow-up sent 07/06; asked Ingo's running schedule (happy to join).</t>
        </is>
      </c>
      <c r="J7" s="17" t="inlineStr">
        <is>
          <t xml:space="preserve">Get exact built-ups &amp; live availability for Hijauan Kiara &amp; MK Damai, then revert. Join Ingo's run when he shares schedule.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09/06/2026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3 units 07/06; prefers Hijauan Kiara &amp; MK Damai (not MK Aman). PSF (std layout, confirm exact): Hijauan ~RM704 (1.75m/2,487sf); MK Aman ~RM670 (1.45m/2,163sf); MK Damai ~RM784 (1.78m/2,272sf). Follow-up sent 07/06; asked Ingo's running schedule (happy to join).</t>
        </is>
      </c>
      <c r="J8" s="17" t="inlineStr">
        <is>
          <t xml:space="preserve">Get exact built-ups &amp; live availability for Hijauan Kiara &amp; MK Damai, then revert. Join Ingo's run when he shares schedule.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s">
        <v>591</v>
      </c>
      <c r="E10" s="17" t="s">
        <v>6</v>
      </c>
      <c r="F10" s="17" t="s">
        <v>32</v>
      </c>
      <c r="G10" s="17" t="s">
        <v>571</v>
      </c>
      <c r="H10" s="18" t="s">
        <v>596</v>
      </c>
      <c r="I10" s="18"/>
      <c r="J10" s="17" t="s">
        <v>597</v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>05/06/2026</t>
        </is>
      </c>
      <c r="E12" s="17" t="s">
        <v>6</v>
      </c>
      <c r="F12" s="17" t="s">
        <v>32</v>
      </c>
      <c r="G12" s="17" t="s">
        <v>571</v>
      </c>
      <c r="H12" s="18" t="inlineStr">
        <is>
          <t>Post-viewing follow-up — AmanAra Residence (Bandar Utama), viewed 04/06 via JY Kam</t>
        </is>
      </c>
      <c r="I12" s="18" t="inlineStr">
        <is>
          <t>Viewed 04/06. Sent follow-up 05/06, gauging interest.</t>
        </is>
      </c>
      <c r="J12" s="17" t="inlineStr">
        <is>
          <t>Await decision; arrange 2nd viewing / negotiate via JY Kam if keen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s">
        <v>591</v>
      </c>
      <c r="E16" s="17" t="s">
        <v>6</v>
      </c>
      <c r="F16" s="17" t="s">
        <v>32</v>
      </c>
      <c r="G16" s="17" t="s">
        <v>571</v>
      </c>
      <c r="H16" s="18" t="s">
        <v>612</v>
      </c>
      <c r="I16" s="18"/>
      <c r="J16" s="17" t="s">
        <v>613</v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>08/06/2026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>Arranged Appointment</t>
        </is>
      </c>
      <c r="H17" s="18" t="inlineStr">
        <is>
          <t>Meeting with co-agent Angelin re rental listing — Astrea MK Unit 12-07</t>
        </is>
      </c>
      <c r="I17" s="18"/>
      <c r="J17" s="17" t="inlineStr">
        <is>
          <t>Meet co-agent Angelin (+60 12-397 2889), discuss rental listing terms</t>
        </is>
      </c>
      <c r="K17" s="17" t="inlineStr">
        <is>
          <t>08/06/2026 2.30pm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>Co-agent: Angelin +60 12-397 2889</t>
        </is>
      </c>
      <c r="O17" s="17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>
      <c r="A9" s="53" t="s">
        <v>652</v>
      </c>
      <c r="B9" s="54"/>
      <c r="C9" s="54"/>
      <c r="D9" s="54"/>
      <c r="E9" s="54"/>
      <c r="F9" s="54"/>
      <c r="G9" s="54"/>
      <c r="H9" s="54"/>
      <c r="I9" s="55"/>
      <c r="J9" s="56">
        <f>SUM(J4:J8)</f>
        <v>416000</v>
      </c>
      <c r="K9" s="57"/>
      <c r="L9" s="57"/>
      <c r="M9" s="57"/>
      <c r="N9" s="57"/>
      <c r="O9" s="57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9:I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59</t>
        </is>
      </c>
      <c r="B5" s="55"/>
      <c r="C5" s="25"/>
      <c r="D5" s="61" t="inlineStr">
        <is>
          <t>10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s">
        <v>673</v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s">
        <v>676</v>
      </c>
      <c r="E10" s="55"/>
      <c r="F10" s="25"/>
      <c r="G10" s="62" t="s">
        <v>677</v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