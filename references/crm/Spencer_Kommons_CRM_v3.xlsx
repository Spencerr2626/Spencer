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<sst xmlns="http://schemas.openxmlformats.org/spreadsheetml/2006/main" count="1559" uniqueCount="720">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</sst>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Interested — Laman Setiakasih 8 (RM9.2m)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Keen on 9 Jln Laman Setiakasih 8 DH (RM9.2m) after 09/06. Now PREFERS bungalow LAND to build himself — viewing Hartamas Heights/Country Heights Damansara, ~7,000–8,000sf.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sourcing tenant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12-07, master rental listing @ RM7,500/mo. 10/06 showing to Ms Yoon (Korean) — not keen; sourcing another tenant.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Setapak 51-G-1 (Patrick Chow)</t>
        </is>
      </c>
      <c r="I15" s="74" t="inlineStr">
        <is>
          <t xml:space="preserve">Tenant</t>
        </is>
      </c>
      <c r="J15" s="74" t="inlineStr">
        <is>
          <t xml:space="preserve">Offer placed — measurement 16/06</t>
        </is>
      </c>
      <c r="K15" s="73" t="inlineStr">
        <is>
          <t xml:space="preserve">Hot 🔥</t>
        </is>
      </c>
      <c r="L15" s="74" t="inlineStr">
        <is>
          <t xml:space="preserve">Setapak</t>
        </is>
      </c>
      <c r="M15" s="73" t="inlineStr">
        <is>
          <t xml:space="preserve">8,500–9,000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Setapak 51-G-1 (Patrick Chow)</t>
        </is>
      </c>
      <c r="R15" s="75" t="inlineStr">
        <is>
          <t xml:space="preserve">51-G-1</t>
        </is>
      </c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5" s="75" t="inlineStr">
        <is>
          <t xml:space="preserve">F&amp;B Tenant / Shoplot</t>
        </is>
      </c>
    </row>
    <row r="16" ht="22.5" customHeight="1">
      <c r="A16" s="73" t="inlineStr">
        <is>
          <t xml:space="preserve">L062</t>
        </is>
      </c>
      <c r="B16" s="74" t="inlineStr">
        <is>
          <t xml:space="preserve">Stephanie</t>
        </is>
      </c>
      <c r="C16" s="74" t="inlineStr">
        <is>
          <t xml:space="preserve">Malaysian (husband Japanese)</t>
        </is>
      </c>
      <c r="D16" s="73" t="inlineStr">
        <is>
          <t xml:space="preserve">English, Chinese, Cantonese</t>
        </is>
      </c>
      <c r="E16" s="74" t="inlineStr">
        <is>
          <t xml:space="preserve">+60162212997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Viewed Astrea 20-01 (1,828sf 3BR)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6,000 /mo</t>
        </is>
      </c>
      <c r="N16" s="73" t="inlineStr">
        <is>
          <t xml:space="preserve">1,828 sqft</t>
        </is>
      </c>
      <c r="O16" s="73" t="inlineStr">
        <is>
          <t xml:space="preserve">3</t>
        </is>
      </c>
      <c r="P16" s="74" t="inlineStr">
        <is>
          <t xml:space="preserve">Condo</t>
        </is>
      </c>
      <c r="Q16" s="75" t="inlineStr">
        <is>
          <t xml:space="preserve">Astrea Mont Kiara</t>
        </is>
      </c>
      <c r="R16" s="75" t="inlineStr">
        <is>
          <t xml:space="preserve">20-01</t>
        </is>
      </c>
      <c r="S16" s="76"/>
      <c r="T16" s="76" t="inlineStr">
        <is>
          <t xml:space="preserve">11/06/2026</t>
        </is>
      </c>
      <c r="U16" s="75" t="inlineStr">
        <is>
          <t xml:space="preserve">Tenant. Viewed Astrea 20-01 (1,828sf, 3BR). Malaysian, husband Japanese (2 pax staying). Budget RM6,000/mo.</t>
        </is>
      </c>
      <c r="V16" s="75" t="inlineStr">
        <is>
          <t xml:space="preserve">Local Chinese &amp; Japanese Tenant</t>
        </is>
      </c>
    </row>
    <row r="17" ht="22.5" customHeight="1">
      <c r="A17" s="73" t="inlineStr">
        <is>
          <t xml:space="preserve">L063</t>
        </is>
      </c>
      <c r="B17" s="74" t="inlineStr">
        <is>
          <t xml:space="preserve">Aaron</t>
        </is>
      </c>
      <c r="C17" s="74" t="inlineStr">
        <is>
          <t xml:space="preserve">Malaysian</t>
        </is>
      </c>
      <c r="D17" s="73" t="inlineStr">
        <is>
          <t xml:space="preserve">English</t>
        </is>
      </c>
      <c r="E17" s="74" t="inlineStr">
        <is>
          <t xml:space="preserve">+60122354261</t>
        </is>
      </c>
      <c r="F17" s="74"/>
      <c r="G17" s="74" t="inlineStr">
        <is>
          <t xml:space="preserve">WhatsApp</t>
        </is>
      </c>
      <c r="H17" s="74" t="inlineStr">
        <is>
          <t xml:space="preserve">iProperty</t>
        </is>
      </c>
      <c r="I17" s="74" t="inlineStr">
        <is>
          <t xml:space="preserve">Tenant (also owner A-29-02 Allevia)</t>
        </is>
      </c>
      <c r="J17" s="74" t="inlineStr">
        <is>
          <t xml:space="preserve">Matched — viewing Allevia B-29-01 (arranging)</t>
        </is>
      </c>
      <c r="K17" s="73" t="inlineStr">
        <is>
          <t xml:space="preserve">Hot 🔥</t>
        </is>
      </c>
      <c r="L17" s="74" t="inlineStr">
        <is>
          <t xml:space="preserve">Mont Kiara</t>
        </is>
      </c>
      <c r="M17" s="73" t="inlineStr">
        <is>
          <t xml:space="preserve">8,000–12,000 /mo</t>
        </is>
      </c>
      <c r="N17" s="73"/>
      <c r="O17" s="73" t="inlineStr">
        <is>
          <t xml:space="preserve">3</t>
        </is>
      </c>
      <c r="P17" s="74" t="inlineStr">
        <is>
          <t xml:space="preserve">Condo</t>
        </is>
      </c>
      <c r="Q17" s="75" t="inlineStr">
        <is>
          <t xml:space="preserve">Allevia</t>
        </is>
      </c>
      <c r="R17" s="75" t="inlineStr">
        <is>
          <t xml:space="preserve">owns A-29-02</t>
        </is>
      </c>
      <c r="S17" s="76"/>
      <c r="T17" s="76" t="inlineStr">
        <is>
          <t xml:space="preserve">11/06/2026</t>
        </is>
      </c>
      <c r="U17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7" s="75" t="inlineStr">
        <is>
          <t xml:space="preserve">Local Chinese Tenant / Owner</t>
        </is>
      </c>
    </row>
    <row r="18" ht="22.5" customHeight="1">
      <c r="A18" s="73" t="inlineStr">
        <is>
          <t xml:space="preserve">L064</t>
        </is>
      </c>
      <c r="B18" s="74" t="inlineStr">
        <is>
          <t xml:space="preserve">Eleena</t>
        </is>
      </c>
      <c r="C18" s="74" t="inlineStr">
        <is>
          <t xml:space="preserve">Malaysian</t>
        </is>
      </c>
      <c r="D18" s="73" t="inlineStr">
        <is>
          <t xml:space="preserve">Malay, English</t>
        </is>
      </c>
      <c r="E18" s="74" t="inlineStr">
        <is>
          <t xml:space="preserve">+60179554304</t>
        </is>
      </c>
      <c r="F18" s="74"/>
      <c r="G18" s="74" t="inlineStr">
        <is>
          <t xml:space="preserve">WhatsApp</t>
        </is>
      </c>
      <c r="H18" s="74" t="inlineStr">
        <is>
          <t xml:space="preserve">iProperty</t>
        </is>
      </c>
      <c r="I18" s="74" t="inlineStr">
        <is>
          <t xml:space="preserve">Tenant</t>
        </is>
      </c>
      <c r="J18" s="74" t="inlineStr">
        <is>
          <t xml:space="preserve">Looking — office lot Plaza MK Tower A</t>
        </is>
      </c>
      <c r="K18" s="73" t="inlineStr">
        <is>
          <t xml:space="preserve">Hot 🔥</t>
        </is>
      </c>
      <c r="L18" s="74" t="inlineStr">
        <is>
          <t xml:space="preserve">Mont Kiara</t>
        </is>
      </c>
      <c r="M18" s="73" t="inlineStr">
        <is>
          <t xml:space="preserve">2,500–3,000 /mo</t>
        </is>
      </c>
      <c r="N18" s="73" t="inlineStr">
        <is>
          <t xml:space="preserve">500–800 sqft</t>
        </is>
      </c>
      <c r="O18" s="73"/>
      <c r="P18" s="74" t="inlineStr">
        <is>
          <t xml:space="preserve">Office lot</t>
        </is>
      </c>
      <c r="Q18" s="75" t="inlineStr">
        <is>
          <t xml:space="preserve">Plaza Mont Kiara</t>
        </is>
      </c>
      <c r="R18" s="75" t="inlineStr">
        <is>
          <t xml:space="preserve">Tower A</t>
        </is>
      </c>
      <c r="S18" s="76"/>
      <c r="T18" s="76" t="inlineStr">
        <is>
          <t xml:space="preserve">11/06/2026</t>
        </is>
      </c>
      <c r="U18" s="75" t="inlineStr">
        <is>
          <t xml:space="preserve">Local Malay LAW FIRM renting 2 office units in Plaza MK Tower A. Office lot 500–800sf, RM2,500–3,000/mo, 2-yr tenancy. Move-in Jul/Aug 2026.</t>
        </is>
      </c>
      <c r="V18" s="75" t="inlineStr">
        <is>
          <t xml:space="preserve">Office Tenant / Law Firm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10/06/2026</t>
        </is>
      </c>
      <c r="E5" s="11" t="s">
        <v>6</v>
      </c>
      <c r="F5" s="11" t="s">
        <v>32</v>
      </c>
      <c r="G5" s="11" t="inlineStr">
        <is>
          <t xml:space="preserve">Viewed — Interested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Viewed The Residence MK, Setiamurni 1 &amp; Laman Setiakasih 8 on 09/06. Keen on Laman Setiakasih 8 (RM9.2m).</t>
        </is>
      </c>
      <c r="J5" s="11" t="inlineStr">
        <is>
          <t xml:space="preserve">➤ Send listing proposal PDF to Datuk (11/06 viewing properties). Prep 11/06 4 viewings (Datuk prefers LAND to build). Pursue Laman Setiakasih 8 offer; source more bungalow land — Hartamas Heights / Country Heights Damansara.</t>
        </is>
      </c>
      <c r="K5" s="11" t="inlineStr">
        <is>
          <t xml:space="preserve">11/06 (Thu) 4pm Sunway Kiara Hills; 4:30pm Hartamas land 6,500sf; 5pm Hartamas land 9,791sf &amp; 12,200sf; 5:15pm Hartamas land 17,997sf; 5:30pm Hartamas bungalow RM18m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placed — measurement 16/06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Offer: 1st yr RM8,500, 2nd-3rd RM9,000, 3+3yrs, 1mth free reno, as-is. Patrick countered: same rent, 15 days free reno.</t>
        </is>
      </c>
      <c r="J19" s="17" t="inlineStr">
        <is>
          <t xml:space="preserve">Bridge free-reno gap (1mth vs 15 days). Measurement viewing 16/06 11am w/ Nas team.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11/06/2026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New Lead</t>
        </is>
      </c>
      <c r="H22" s="18" t="inlineStr">
        <is>
          <t xml:space="preserve">Office lot Plaza MK Tower A — 500–800sf, RM2,500–3,000/mo, 2yr</t>
        </is>
      </c>
      <c r="I22" s="18" t="inlineStr">
        <is>
          <t xml:space="preserve">Law firm renting 2 office units in Tower A. Move-in Jul/Aug 2026.</t>
        </is>
      </c>
      <c r="J22" s="17" t="inlineStr">
        <is>
          <t xml:space="preserve">Source office lots in Plaza MK Tower A; qualify exact needs.</t>
        </is>
      </c>
      <c r="K22" s="17"/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inlineStr">
        <is>
          <t xml:space="preserve">Viewed — Interested (negotiating)</t>
        </is>
      </c>
      <c r="H4" s="36">
        <v>9200000</v>
      </c>
      <c r="I4" s="37">
        <v>0.02</v>
      </c>
      <c r="J4" s="38">
        <f t="shared" ref="J4:J8" si="1">H4*I4</f>
        <v>184000</v>
      </c>
      <c r="K4" s="11"/>
      <c r="L4" s="11"/>
      <c r="M4" s="11"/>
      <c r="N4" s="11"/>
      <c r="O4" s="12" t="inlineStr">
        <is>
          <t xml:space="preserve">Viewed 09/06 — INTERESTED in 9 Jln Laman Setiakasih 8 (6,600sf, 4+1). Asking RM9.2m. Negotiate / place offer. Local Chinese loan buyer.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Viewing Done — Awaiting Decision</t>
        </is>
      </c>
      <c r="H9" s="50">
        <v>6500</v>
      </c>
      <c r="I9" s="51"/>
      <c r="J9" s="52">
        <v>6500</v>
      </c>
      <c r="K9" s="8"/>
      <c r="L9" s="8"/>
      <c r="M9" s="8"/>
      <c r="N9" s="8"/>
      <c r="O9" s="9" t="inlineStr">
        <is>
          <t xml:space="preserve">Viewed AmanAra 04/06 via JY Kam co-broke. Awaiting decision. Rent RM5.5k PF / ~RM6.5k FF (confirm).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Setapak 51-G-1 (Patrick Chow)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Offer placed — negotiating</t>
        </is>
      </c>
      <c r="H11" s="50">
        <v>8500</v>
      </c>
      <c r="I11" s="51"/>
      <c r="J11" s="52">
        <v>8500</v>
      </c>
      <c r="K11" s="8"/>
      <c r="L11" s="8"/>
      <c r="M11" s="8"/>
      <c r="N11" s="8"/>
      <c r="O11" s="9" t="inlineStr">
        <is>
          <t xml:space="preserve">Kenangan Coffee for Patrick Chow KLTS Setapak 51-G-1. Offer RM8,500(yr1)/9,000(yr2-3), 3+3yrs; reno-period gap (15d vs 1mth). Comm = 1 mth rent.</t>
        </is>
      </c>
    </row>
    <row r="12" ht="32.25" customHeight="1">
      <c r="A12" s="8" t="inlineStr">
        <is>
          <t xml:space="preserve">D009</t>
        </is>
      </c>
      <c r="B12" s="9" t="inlineStr">
        <is>
          <t xml:space="preserve">Stephanie</t>
        </is>
      </c>
      <c r="C12" s="8" t="inlineStr">
        <is>
          <t xml:space="preserve">Malaysia</t>
        </is>
      </c>
      <c r="D12" s="9" t="inlineStr">
        <is>
          <t xml:space="preserve">Astrea Mont Kiara (20-01 viewed)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— Gauging Interest</t>
        </is>
      </c>
      <c r="H12" s="50">
        <v>6000</v>
      </c>
      <c r="I12" s="51"/>
      <c r="J12" s="52">
        <v>6000</v>
      </c>
      <c r="K12" s="8"/>
      <c r="L12" s="8"/>
      <c r="M12" s="8"/>
      <c r="N12" s="8"/>
      <c r="O12" s="9" t="inlineStr">
        <is>
          <t xml:space="preserve">Viewed Astrea 20-01 (1,828sf 3BR). Budget RM6k/mo. Comm = 1 mth rent.</t>
        </is>
      </c>
    </row>
    <row r="13" ht="32.25" customHeight="1">
      <c r="A13" s="8" t="inlineStr">
        <is>
          <t xml:space="preserve">D010</t>
        </is>
      </c>
      <c r="B13" s="9" t="inlineStr">
        <is>
          <t xml:space="preserve">Aaron</t>
        </is>
      </c>
      <c r="C13" s="8" t="inlineStr">
        <is>
          <t xml:space="preserve">Malaysia</t>
        </is>
      </c>
      <c r="D13" s="9" t="inlineStr">
        <is>
          <t xml:space="preserve">Allevia B-29-01 (3BR) — Sharavana unit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arranging</t>
        </is>
      </c>
      <c r="H13" s="50">
        <v>9500</v>
      </c>
      <c r="I13" s="51"/>
      <c r="J13" s="52">
        <v>9500</v>
      </c>
      <c r="K13" s="8"/>
      <c r="L13" s="8"/>
      <c r="M13" s="8"/>
      <c r="N13" s="8"/>
      <c r="O13" s="9" t="inlineStr">
        <is>
          <t xml:space="preserve">Matched to Sharavana's B-29-01 @ RM9,500/mo; arranging viewing. Aaron also owns A-29-02 (own stay, not listing). Comm = 1 mth rent.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436500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15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20.0mil</t>
        </is>
      </c>
      <c r="E9" s="55"/>
      <c r="F9" s="25"/>
      <c r="G9" s="61" t="inlineStr">
        <is>
          <t xml:space="preserve">RM 436.5k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5 sale + 5 rent</t>
        </is>
      </c>
      <c r="E10" s="55"/>
      <c r="F10" s="25"/>
      <c r="G10" s="62" t="inlineStr">
        <is>
          <t xml:space="preserve">if all 10 close (incl 5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keen on RM9.2m DH bungalow (= RM184k comm). 5 sale deals ~RM400k total.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