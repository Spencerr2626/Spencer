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<sst xmlns="http://schemas.openxmlformats.org/spreadsheetml/2006/main" count="1559" uniqueCount="720">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</sst>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s">
        <v>31</v>
      </c>
      <c r="K4" s="8" t="s">
        <v>32</v>
      </c>
      <c r="L4" s="9" t="s">
        <v>33</v>
      </c>
      <c r="M4" s="10">
        <v>9500.0</v>
      </c>
      <c r="N4" s="10"/>
      <c r="O4" s="8"/>
      <c r="P4" s="9" t="s">
        <v>34</v>
      </c>
      <c r="Q4" s="9" t="s">
        <v>35</v>
      </c>
      <c r="R4" s="9" t="s">
        <v>36</v>
      </c>
      <c r="S4" s="8" t="inlineStr">
        <is>
          <t xml:space="preserve">09/06/2026</t>
        </is>
      </c>
      <c r="T4" s="8" t="inlineStr">
        <is>
          <t xml:space="preserve">12/06/2026</t>
        </is>
      </c>
      <c r="U4" s="9" t="s">
        <v>38</v>
      </c>
      <c r="V4" s="9"/>
    </row>
    <row r="5" ht="22.5" customHeight="1">
      <c r="A5" s="11" t="s">
        <v>39</v>
      </c>
      <c r="B5" s="12" t="s">
        <v>40</v>
      </c>
      <c r="C5" s="12" t="s">
        <v>26</v>
      </c>
      <c r="D5" s="11" t="s">
        <v>27</v>
      </c>
      <c r="E5" s="12" t="s">
        <v>41</v>
      </c>
      <c r="F5" s="12"/>
      <c r="G5" s="12" t="s">
        <v>6</v>
      </c>
      <c r="H5" s="12" t="s">
        <v>42</v>
      </c>
      <c r="I5" s="12" t="s">
        <v>43</v>
      </c>
      <c r="J5" s="12" t="inlineStr">
        <is>
          <t xml:space="preserve">Interested — Laman Setiakasih 8 (RM9.2m)</t>
        </is>
      </c>
      <c r="K5" s="11" t="s">
        <v>32</v>
      </c>
      <c r="L5" s="12" t="s">
        <v>45</v>
      </c>
      <c r="M5" s="13">
        <v>15000000</v>
      </c>
      <c r="N5" s="13"/>
      <c r="O5" s="11"/>
      <c r="P5" s="12" t="s">
        <v>46</v>
      </c>
      <c r="Q5" s="12"/>
      <c r="R5" s="12"/>
      <c r="S5" s="11" t="inlineStr">
        <is>
          <t xml:space="preserve">09/06/2026</t>
        </is>
      </c>
      <c r="T5" s="11" t="inlineStr">
        <is>
          <t xml:space="preserve">10/06/2026</t>
        </is>
      </c>
      <c r="U5" s="12" t="inlineStr">
        <is>
          <t xml:space="preserve">Local Chinese Loan Buyer. INTERESTED in 9 Jln Laman Setiakasih 8 DH (RM9.2m) after 09/06 viewing. Also wants to view Hartamas Heights &amp; Country Heights Damansara bungalows, prefers ~7,000–8,000 sqft.</t>
        </is>
      </c>
      <c r="V5" s="12" t="s">
        <v>47</v>
      </c>
    </row>
    <row r="6" ht="22.5" customHeight="1">
      <c r="A6" s="14" t="s">
        <v>48</v>
      </c>
      <c r="B6" s="15" t="s">
        <v>49</v>
      </c>
      <c r="C6" s="15" t="s">
        <v>50</v>
      </c>
      <c r="D6" s="14" t="s">
        <v>51</v>
      </c>
      <c r="E6" s="15" t="s">
        <v>52</v>
      </c>
      <c r="F6" s="15"/>
      <c r="G6" s="15" t="s">
        <v>6</v>
      </c>
      <c r="H6" s="15" t="s">
        <v>53</v>
      </c>
      <c r="I6" s="15" t="s">
        <v>54</v>
      </c>
      <c r="J6" s="15" t="inlineStr">
        <is>
          <t xml:space="preserve">Viewing / Negotiating — Hijauan &amp; MK Damai</t>
        </is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inlineStr">
        <is>
          <t xml:space="preserve">09/06/2026</t>
        </is>
      </c>
      <c r="T6" s="14" t="inlineStr">
        <is>
          <t xml:space="preserve">12/06/2026</t>
        </is>
      </c>
      <c r="U6" s="15" t="inlineStr">
        <is>
          <t xml:space="preserve">Want to purchase for own stay, then rent out in future. Viewed Hijauan Kiara/MK Aman/MK Damai 07/06; prefers Hijauan Kiara &amp; MK Damai.</t>
        </is>
      </c>
      <c r="V6" s="15" t="s">
        <v>64</v>
      </c>
    </row>
    <row r="7" ht="22.5" customHeight="1">
      <c r="A7" s="14" t="s">
        <v>65</v>
      </c>
      <c r="B7" s="15" t="s">
        <v>66</v>
      </c>
      <c r="C7" s="15" t="s">
        <v>67</v>
      </c>
      <c r="D7" s="14" t="s">
        <v>51</v>
      </c>
      <c r="E7" s="15" t="s">
        <v>68</v>
      </c>
      <c r="F7" s="15"/>
      <c r="G7" s="15" t="s">
        <v>6</v>
      </c>
      <c r="H7" s="15" t="s">
        <v>53</v>
      </c>
      <c r="I7" s="15" t="s">
        <v>54</v>
      </c>
      <c r="J7" s="15" t="inlineStr">
        <is>
          <t xml:space="preserve">Viewing / Negotiating — Hijauan &amp; MK Damai</t>
        </is>
      </c>
      <c r="K7" s="14" t="s">
        <v>32</v>
      </c>
      <c r="L7" s="15" t="s">
        <v>56</v>
      </c>
      <c r="M7" s="16">
        <v>1800000.0</v>
      </c>
      <c r="N7" s="16"/>
      <c r="O7" s="14" t="s">
        <v>57</v>
      </c>
      <c r="P7" s="15" t="s">
        <v>58</v>
      </c>
      <c r="Q7" s="15" t="s">
        <v>59</v>
      </c>
      <c r="R7" s="15" t="s">
        <v>60</v>
      </c>
      <c r="S7" s="14" t="inlineStr">
        <is>
          <t xml:space="preserve">09/06/2026</t>
        </is>
      </c>
      <c r="T7" s="14" t="inlineStr">
        <is>
          <t xml:space="preserve">12/06/2026</t>
        </is>
      </c>
      <c r="U7" s="15" t="inlineStr">
        <is>
          <t xml:space="preserve">Want to purchase for own stay, then rent out in future. Viewed Hijauan Kiara/MK Aman/MK Damai 07/06; prefers Hijauan Kiara &amp; MK Damai.</t>
        </is>
      </c>
      <c r="V7" s="15" t="s">
        <v>64</v>
      </c>
    </row>
    <row r="8" ht="22.5" customHeight="1">
      <c r="A8" s="17" t="s">
        <v>69</v>
      </c>
      <c r="B8" s="18" t="s">
        <v>70</v>
      </c>
      <c r="C8" s="18" t="s">
        <v>71</v>
      </c>
      <c r="D8" s="17" t="s">
        <v>51</v>
      </c>
      <c r="E8" s="18" t="s">
        <v>72</v>
      </c>
      <c r="F8" s="18"/>
      <c r="G8" s="18" t="s">
        <v>6</v>
      </c>
      <c r="H8" s="18" t="s">
        <v>42</v>
      </c>
      <c r="I8" s="18" t="s">
        <v>73</v>
      </c>
      <c r="J8" s="18" t="s">
        <v>74</v>
      </c>
      <c r="K8" s="17" t="s">
        <v>75</v>
      </c>
      <c r="L8" s="18" t="s">
        <v>56</v>
      </c>
      <c r="M8" s="19">
        <v>4000.0</v>
      </c>
      <c r="N8" s="19"/>
      <c r="O8" s="17" t="s">
        <v>57</v>
      </c>
      <c r="P8" s="18" t="s">
        <v>58</v>
      </c>
      <c r="Q8" s="18"/>
      <c r="R8" s="18"/>
      <c r="S8" s="17"/>
      <c r="T8" s="17"/>
      <c r="U8" s="18" t="s">
        <v>76</v>
      </c>
      <c r="V8" s="18" t="s">
        <v>77</v>
      </c>
    </row>
    <row r="9">
      <c r="A9" s="17" t="s">
        <v>78</v>
      </c>
      <c r="B9" s="18" t="s">
        <v>79</v>
      </c>
      <c r="C9" s="18" t="s">
        <v>80</v>
      </c>
      <c r="D9" s="17" t="s">
        <v>27</v>
      </c>
      <c r="E9" s="18"/>
      <c r="F9" s="18" t="s">
        <v>81</v>
      </c>
      <c r="G9" s="18" t="s">
        <v>82</v>
      </c>
      <c r="H9" s="18" t="s">
        <v>83</v>
      </c>
      <c r="I9" s="18" t="s">
        <v>43</v>
      </c>
      <c r="J9" s="18" t="s">
        <v>74</v>
      </c>
      <c r="K9" s="17" t="s">
        <v>32</v>
      </c>
      <c r="L9" s="18" t="s">
        <v>84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/>
      <c r="T9" s="17"/>
      <c r="U9" s="18" t="s">
        <v>85</v>
      </c>
      <c r="V9" s="18" t="s">
        <v>86</v>
      </c>
    </row>
    <row r="10" ht="32.25" customHeight="1">
      <c r="A10" s="17" t="s">
        <v>87</v>
      </c>
      <c r="B10" s="18" t="s">
        <v>88</v>
      </c>
      <c r="C10" s="18" t="s">
        <v>89</v>
      </c>
      <c r="D10" s="17" t="s">
        <v>27</v>
      </c>
      <c r="E10" s="18"/>
      <c r="F10" s="18" t="s">
        <v>90</v>
      </c>
      <c r="G10" s="18" t="s">
        <v>82</v>
      </c>
      <c r="H10" s="18" t="s">
        <v>91</v>
      </c>
      <c r="I10" s="18" t="s">
        <v>43</v>
      </c>
      <c r="J10" s="18" t="s">
        <v>92</v>
      </c>
      <c r="K10" s="17" t="s">
        <v>32</v>
      </c>
      <c r="L10" s="18" t="s">
        <v>56</v>
      </c>
      <c r="M10" s="19">
        <v>2000000.0</v>
      </c>
      <c r="N10" s="19"/>
      <c r="O10" s="17" t="s">
        <v>57</v>
      </c>
      <c r="P10" s="18" t="s">
        <v>58</v>
      </c>
      <c r="Q10" s="18"/>
      <c r="R10" s="18"/>
      <c r="S10" s="17" t="s">
        <v>93</v>
      </c>
      <c r="T10" s="17"/>
      <c r="U10" s="18" t="s">
        <v>94</v>
      </c>
      <c r="V10" s="18" t="s">
        <v>86</v>
      </c>
    </row>
    <row r="11" ht="32.25" customHeight="1">
      <c r="A11" s="11" t="s">
        <v>95</v>
      </c>
      <c r="B11" s="12" t="s">
        <v>96</v>
      </c>
      <c r="C11" s="12" t="s">
        <v>97</v>
      </c>
      <c r="D11" s="11" t="s">
        <v>51</v>
      </c>
      <c r="E11" s="12" t="s">
        <v>98</v>
      </c>
      <c r="F11" s="12"/>
      <c r="G11" s="12"/>
      <c r="H11" s="12" t="s">
        <v>99</v>
      </c>
      <c r="I11" s="12" t="s">
        <v>43</v>
      </c>
      <c r="J11" s="12" t="s">
        <v>100</v>
      </c>
      <c r="K11" s="11" t="s">
        <v>32</v>
      </c>
      <c r="L11" s="12" t="s">
        <v>56</v>
      </c>
      <c r="M11" s="13">
        <v>5000000.0</v>
      </c>
      <c r="N11" s="13"/>
      <c r="O11" s="11" t="s">
        <v>57</v>
      </c>
      <c r="P11" s="12" t="s">
        <v>58</v>
      </c>
      <c r="Q11" s="12" t="s">
        <v>101</v>
      </c>
      <c r="R11" s="12" t="s">
        <v>102</v>
      </c>
      <c r="S11" s="20">
        <v>46179</v>
      </c>
      <c r="T11" s="20">
        <v>46183</v>
      </c>
      <c r="U11" s="12" t="inlineStr">
        <is>
          <t xml:space="preserve">Placed Offer AB-39-02 MK 10 at RM 4.2mil but owner rejected, looking to sell at RM 4.5mil and above. 06/06: shared MK 10 comp (4,090sf sold RM5.5m, ~RM1,345psf); AB-39-02 (3,668sf) still available — awaiting response.</t>
        </is>
      </c>
      <c r="V11" s="12" t="s">
        <v>104</v>
      </c>
    </row>
    <row r="12" ht="22.5" customHeight="1">
      <c r="A12" s="73" t="s">
        <v>105</v>
      </c>
      <c r="B12" s="74" t="s">
        <v>106</v>
      </c>
      <c r="C12" s="74" t="s">
        <v>26</v>
      </c>
      <c r="D12" s="73" t="s">
        <v>27</v>
      </c>
      <c r="E12" s="74" t="s">
        <v>107</v>
      </c>
      <c r="F12" s="74"/>
      <c r="G12" s="74" t="s">
        <v>6</v>
      </c>
      <c r="H12" s="74" t="s">
        <v>108</v>
      </c>
      <c r="I12" s="74" t="s">
        <v>54</v>
      </c>
      <c r="J12" s="74" t="s">
        <v>109</v>
      </c>
      <c r="K12" s="73" t="s">
        <v>32</v>
      </c>
      <c r="L12" s="74" t="s">
        <v>110</v>
      </c>
      <c r="M12" s="73" t="s">
        <v>111</v>
      </c>
      <c r="N12" s="73"/>
      <c r="O12" s="73" t="s">
        <v>57</v>
      </c>
      <c r="P12" s="74" t="s">
        <v>112</v>
      </c>
      <c r="Q12" s="75" t="s">
        <v>113</v>
      </c>
      <c r="R12" s="75" t="s">
        <v>114</v>
      </c>
      <c r="S12" s="76" t="inlineStr">
        <is>
          <t xml:space="preserve">08/06/2026</t>
        </is>
      </c>
      <c r="T12" s="76" t="inlineStr">
        <is>
          <t xml:space="preserve">11/06/2026</t>
        </is>
      </c>
      <c r="U12" s="75" t="inlineStr">
        <is>
          <t>Viewed AmanAra Residence (Bandar Utama) 04/06 via JY Kam co-broke. Follow-up sent 05/06 — awaiting decision. Confirm exact ask (CRM RM5.5k PF vs portal ~RM6.5k FF).</t>
        </is>
      </c>
      <c r="V12" s="75" t="s">
        <v>116</v>
      </c>
    </row>
    <row r="13" ht="22.5" customHeight="1">
      <c r="A13" s="73" t="inlineStr">
        <is>
          <t>L059</t>
        </is>
      </c>
      <c r="B13" s="74" t="inlineStr">
        <is>
          <t>Ms Norain</t>
        </is>
      </c>
      <c r="C13" s="74" t="inlineStr">
        <is>
          <t>Malaysian</t>
        </is>
      </c>
      <c r="D13" s="73" t="inlineStr">
        <is>
          <t>Malay, English</t>
        </is>
      </c>
      <c r="E13" s="74" t="inlineStr">
        <is>
          <t>+60162138240</t>
        </is>
      </c>
      <c r="F13" s="74"/>
      <c r="G13" s="74" t="inlineStr">
        <is>
          <t>WhatsApp</t>
        </is>
      </c>
      <c r="H13" s="74"/>
      <c r="I13" s="74" t="inlineStr">
        <is>
          <t>Owner</t>
        </is>
      </c>
      <c r="J13" s="74" t="inlineStr">
        <is>
          <t xml:space="preserve">Active — helping look around</t>
        </is>
      </c>
      <c r="K13" s="73" t="inlineStr">
        <is>
          <t>Hot 🔥</t>
        </is>
      </c>
      <c r="L13" s="74" t="inlineStr">
        <is>
          <t>Mont Kiara</t>
        </is>
      </c>
      <c r="M13" s="73"/>
      <c r="N13" s="73"/>
      <c r="O13" s="73"/>
      <c r="P13" s="74" t="inlineStr">
        <is>
          <t>Condo</t>
        </is>
      </c>
      <c r="Q13" s="75" t="inlineStr">
        <is>
          <t>Astrea Mont Kiara</t>
        </is>
      </c>
      <c r="R13" s="75" t="inlineStr">
        <is>
          <t>12-07</t>
        </is>
      </c>
      <c r="S13" s="76"/>
      <c r="T13" s="76" t="inlineStr">
        <is>
          <t xml:space="preserve">12/06/2026</t>
        </is>
      </c>
      <c r="U13" s="75" t="inlineStr">
        <is>
          <t xml:space="preserve">Owner — Astrea MK 12-07 for rent. Co-agent meeting (Angelin) 08/06 did not happen; continuing to help source/list.</t>
        </is>
      </c>
      <c r="V13" s="75" t="inlineStr">
        <is>
          <t>Owner / Rental listing</t>
        </is>
      </c>
    </row>
    <row r="14" ht="22.5" customHeight="1">
      <c r="A14" s="73" t="inlineStr">
        <is>
          <t xml:space="preserve">L060</t>
        </is>
      </c>
      <c r="B14" s="74" t="inlineStr">
        <is>
          <t xml:space="preserve">Aisyah Hamid</t>
        </is>
      </c>
      <c r="C14" s="74" t="inlineStr">
        <is>
          <t xml:space="preserve">Malaysian</t>
        </is>
      </c>
      <c r="D14" s="73" t="inlineStr">
        <is>
          <t xml:space="preserve">Malay, English</t>
        </is>
      </c>
      <c r="E14" s="74" t="inlineStr">
        <is>
          <t xml:space="preserve">+60172702010</t>
        </is>
      </c>
      <c r="F14" s="74"/>
      <c r="G14" s="74" t="inlineStr">
        <is>
          <t xml:space="preserve">WhatsApp</t>
        </is>
      </c>
      <c r="H14" s="74" t="inlineStr">
        <is>
          <t xml:space="preserve">iProperty</t>
        </is>
      </c>
      <c r="I14" s="74" t="inlineStr">
        <is>
          <t xml:space="preserve">Tenant</t>
        </is>
      </c>
      <c r="J14" s="74" t="inlineStr">
        <is>
          <t xml:space="preserve">New Lead</t>
        </is>
      </c>
      <c r="K14" s="73" t="inlineStr">
        <is>
          <t xml:space="preserve">Hot 🔥</t>
        </is>
      </c>
      <c r="L14" s="74" t="inlineStr">
        <is>
          <t xml:space="preserve">Gombak</t>
        </is>
      </c>
      <c r="M14" s="73" t="inlineStr">
        <is>
          <t xml:space="preserve">6,000 /mo</t>
        </is>
      </c>
      <c r="N14" s="73"/>
      <c r="O14" s="73"/>
      <c r="P14" s="74" t="inlineStr">
        <is>
          <t xml:space="preserve">Shoplot</t>
        </is>
      </c>
      <c r="Q14" s="75" t="inlineStr">
        <is>
          <t xml:space="preserve">KLTS Gombak / Gombak Shoplot</t>
        </is>
      </c>
      <c r="R14" s="75" t="inlineStr">
        <is>
          <t xml:space="preserve">Ground Floor</t>
        </is>
      </c>
      <c r="S14" s="76" t="inlineStr">
        <is>
          <t xml:space="preserve">09/06/2026</t>
        </is>
      </c>
      <c r="T14" s="76" t="inlineStr">
        <is>
          <t xml:space="preserve">12/06/2026</t>
        </is>
      </c>
      <c r="U14" s="75" t="inlineStr">
        <is>
          <t xml:space="preserve">F&amp;B tenant — wants ground-floor shoplot, ~RM6,000/mo, Gombak (KLTS). Existing outlets: JNC Burger Bangi &amp; Bukit Jelutong. Target move-in Aug 2026.</t>
        </is>
      </c>
      <c r="V14" s="75" t="inlineStr">
        <is>
          <t xml:space="preserve">F&amp;B Tenant / Shoplot</t>
        </is>
      </c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s">
        <v>109</v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s">
        <v>109</v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s">
        <v>209</v>
      </c>
      <c r="V11" s="22" t="s">
        <v>210</v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/>
      <c r="V21" s="22"/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s">
        <v>109</v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s">
        <v>368</v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s">
        <v>109</v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s">
        <v>393</v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inlineStr">
        <is>
          <t xml:space="preserve">15/06/2026</t>
        </is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s">
        <v>432</v>
      </c>
      <c r="T38" s="21" t="s">
        <v>61</v>
      </c>
      <c r="U38" s="21" t="s">
        <v>209</v>
      </c>
      <c r="V38" s="22" t="s">
        <v>433</v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s">
        <v>534</v>
      </c>
      <c r="V50" s="22" t="s">
        <v>536</v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s">
        <v>544</v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s">
        <v>399</v>
      </c>
      <c r="V52" s="22" t="s">
        <v>536</v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10/06/2026</t>
        </is>
      </c>
      <c r="E4" s="17" t="s">
        <v>6</v>
      </c>
      <c r="F4" s="17" t="s">
        <v>32</v>
      </c>
      <c r="G4" s="17" t="s">
        <v>571</v>
      </c>
      <c r="H4" s="18" t="inlineStr">
        <is>
          <t xml:space="preserve">RM4.2m offer on AB-39-02 rejected. Shared MK 10 comp; AB-39-02 still available — awaiting response.</t>
        </is>
      </c>
      <c r="I4" s="18" t="inlineStr">
        <is>
          <t xml:space="preserve">06/06: Sent MK 10 comp (4,090sf @ RM5.5m, ~RM1,345psf). AB-39-02 3,668sf still available. No response yet.</t>
        </is>
      </c>
      <c r="J4" s="17" t="inlineStr">
        <is>
          <t xml:space="preserve">Nudge for viewing / decision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10/06/2026</t>
        </is>
      </c>
      <c r="E5" s="11" t="s">
        <v>6</v>
      </c>
      <c r="F5" s="11" t="s">
        <v>32</v>
      </c>
      <c r="G5" s="11" t="inlineStr">
        <is>
          <t xml:space="preserve">Viewed — Interested</t>
        </is>
      </c>
      <c r="H5" s="12" t="inlineStr">
        <is>
          <t xml:space="preserve">Viewed 3 landed 09/06 — INTERESTED in 9 Jln Laman Setiakasih 8 DH (6,600sf, 4+1, RM9.2m). 11/06: 119 Sunway Kiara Hills (RM4.5m) still on.</t>
        </is>
      </c>
      <c r="I5" s="12" t="inlineStr">
        <is>
          <t xml:space="preserve">Viewed The Residence MK, Setiamurni 1 &amp; Laman Setiakasih 8 on 09/06. Keen on Laman Setiakasih 8 (RM9.2m).</t>
        </is>
      </c>
      <c r="J5" s="11" t="inlineStr">
        <is>
          <t xml:space="preserve">Discuss offer on Laman Setiakasih 8; negotiate. Source Hartamas Heights &amp; Country Heights Damansara bungalows ~7,000–8,000sf for viewing. 11/06 Sunway Kiara Hills still on.</t>
        </is>
      </c>
      <c r="K5" s="11" t="inlineStr">
        <is>
          <t xml:space="preserve">09/06 (Tue) 4pm The Residence MK; 5pm Setiamurni 1 DH; 6pm 9 Jln Laman Setiakasih 8 DH; 11/06 (Thu) 4pm 119 Sunway Kiara Hills (RM4.5m)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Confirmed 09/06 (3 units) &amp; 11/06</t>
        </is>
      </c>
      <c r="O5" s="11" t="inlineStr">
        <is>
          <t>Confirmation sent 05/06 (for 12/6); rescheduled to 11/6 — resend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12/06/2026</t>
        </is>
      </c>
      <c r="E7" s="17" t="s">
        <v>6</v>
      </c>
      <c r="F7" s="17" t="s">
        <v>32</v>
      </c>
      <c r="G7" s="17" t="inlineStr">
        <is>
          <t xml:space="preserve">Viewed / Negotiating</t>
        </is>
      </c>
      <c r="H7" s="18" t="inlineStr">
        <is>
          <t>Viewing 07/06 (Sun): Hijauan Kiara RM1.75m 2:30pm; MK Aman RM1.45m nett 3:15pm; MK Damai RM1.78m 4:15pm</t>
        </is>
      </c>
      <c r="I7" s="34" t="inlineStr">
        <is>
          <t xml:space="preserve">Viewed 4 units 07/06 — MK Aman 2,163sf RM1.6m (RM740psf) &amp; 1,668sf RM1.38m (RM827psf); Hijauan Kiara 2,734sf RM1.75m (RM640psf, private lift); MK Damai 2,272sf RM1.78m (RM783psf, 3+2). Prefers Hijauan &amp; MK Damai. Follow-up + run note sent 07/06. Warm follow-up sent 09/06 — awaiting decision.</t>
        </is>
      </c>
      <c r="J7" s="17" t="inlineStr">
        <is>
          <t xml:space="preserve">Negotiate when ready — Hijauan target ~RM1.68m (mkt floor ~RM603psf, 39 listings); MK Damai target ~RM1.68m (comp same 2,272sf asking RM1.68m/RM739psf, 48 listings). Join Ingo's run.</t>
        </is>
      </c>
      <c r="K7" s="35" t="inlineStr">
        <is>
          <t xml:space="preserve">07/06/2026 2:30pm (viewing done)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12/06/2026</t>
        </is>
      </c>
      <c r="E8" s="17" t="s">
        <v>6</v>
      </c>
      <c r="F8" s="17" t="s">
        <v>32</v>
      </c>
      <c r="G8" s="17" t="inlineStr">
        <is>
          <t xml:space="preserve">Viewed / Negotiating</t>
        </is>
      </c>
      <c r="H8" s="18" t="inlineStr">
        <is>
          <t>Viewing 07/06 (Sun): Hijauan Kiara RM1.75m 2:30pm; MK Aman RM1.45m nett 3:15pm; MK Damai RM1.78m 4:15pm</t>
        </is>
      </c>
      <c r="I8" s="34" t="inlineStr">
        <is>
          <t xml:space="preserve">Viewed 4 units 07/06 — MK Aman 2,163sf RM1.6m (RM740psf) &amp; 1,668sf RM1.38m (RM827psf); Hijauan Kiara 2,734sf RM1.75m (RM640psf, private lift); MK Damai 2,272sf RM1.78m (RM783psf, 3+2). Prefers Hijauan &amp; MK Damai. Follow-up + run note sent 07/06. Warm follow-up sent 09/06 — awaiting decision.</t>
        </is>
      </c>
      <c r="J8" s="17" t="inlineStr">
        <is>
          <t xml:space="preserve">Negotiate when ready — Hijauan target ~RM1.68m (mkt floor ~RM603psf, 39 listings); MK Damai target ~RM1.68m (comp same 2,272sf asking RM1.68m/RM739psf, 48 listings). Join Ingo's run.</t>
        </is>
      </c>
      <c r="K8" s="35" t="inlineStr">
        <is>
          <t xml:space="preserve">07/06/2026 2:30pm (viewing done)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s">
        <v>593</v>
      </c>
      <c r="E9" s="17" t="s">
        <v>82</v>
      </c>
      <c r="F9" s="17" t="s">
        <v>32</v>
      </c>
      <c r="G9" s="17" t="s">
        <v>571</v>
      </c>
      <c r="H9" s="18" t="s">
        <v>594</v>
      </c>
      <c r="I9" s="18"/>
      <c r="J9" s="17" t="s">
        <v>595</v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inlineStr">
        <is>
          <t xml:space="preserve">12/06/2026</t>
        </is>
      </c>
      <c r="E10" s="17" t="s">
        <v>6</v>
      </c>
      <c r="F10" s="17" t="s">
        <v>32</v>
      </c>
      <c r="G10" s="17" t="inlineStr">
        <is>
          <t xml:space="preserve">Marketing</t>
        </is>
      </c>
      <c r="H10" s="18" t="s">
        <v>596</v>
      </c>
      <c r="I10" s="18" t="inlineStr">
        <is>
          <t xml:space="preserve">KLTS Gombak vacancy marketed 09/06.</t>
        </is>
      </c>
      <c r="J10" s="17" t="inlineStr">
        <is>
          <t xml:space="preserve">Source tenant; match active leads (e.g. Aisyah — Gombak shoplot).</t>
        </is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s">
        <v>598</v>
      </c>
      <c r="E11" s="17" t="s">
        <v>6</v>
      </c>
      <c r="F11" s="17" t="s">
        <v>32</v>
      </c>
      <c r="G11" s="17" t="s">
        <v>571</v>
      </c>
      <c r="H11" s="18" t="s">
        <v>599</v>
      </c>
      <c r="I11" s="18"/>
      <c r="J11" s="17" t="s">
        <v>600</v>
      </c>
      <c r="K11" s="17"/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 xml:space="preserve">11/06/2026</t>
        </is>
      </c>
      <c r="E12" s="17" t="s">
        <v>6</v>
      </c>
      <c r="F12" s="17" t="s">
        <v>32</v>
      </c>
      <c r="G12" s="17" t="inlineStr">
        <is>
          <t xml:space="preserve">Awaiting offer</t>
        </is>
      </c>
      <c r="H12" s="18" t="inlineStr">
        <is>
          <t>Post-viewing follow-up — AmanAra Residence (Bandar Utama), viewed 04/06 via JY Kam</t>
        </is>
      </c>
      <c r="I12" s="18" t="inlineStr">
        <is>
          <t xml:space="preserve">Followed up 08/06 — awaiting offer. Viewed AmanAra (Bandar Utama) 04/06 via JY Kam co-broke.</t>
        </is>
      </c>
      <c r="J12" s="17" t="inlineStr">
        <is>
          <t xml:space="preserve">Await offer from Brian; arrange 2nd viewing / negotiate via JY Kam if keen.</t>
        </is>
      </c>
      <c r="K12" s="17"/>
      <c r="L12" s="17" t="s">
        <v>591</v>
      </c>
      <c r="M12" s="17" t="s">
        <v>27</v>
      </c>
      <c r="N12" s="17" t="s">
        <v>575</v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s">
        <v>93</v>
      </c>
      <c r="E13" s="17" t="s">
        <v>6</v>
      </c>
      <c r="F13" s="17" t="s">
        <v>32</v>
      </c>
      <c r="G13" s="17" t="inlineStr">
        <is>
          <t xml:space="preserve">Resolved</t>
        </is>
      </c>
      <c r="H13" s="18" t="s">
        <v>604</v>
      </c>
      <c r="I13" s="34" t="inlineStr">
        <is>
          <t xml:space="preserve">Sewerage smell fixed &amp; monitored — resolved.</t>
        </is>
      </c>
      <c r="J13" s="17" t="inlineStr">
        <is>
          <t xml:space="preserve">None — closed</t>
        </is>
      </c>
      <c r="K13" s="17"/>
      <c r="L13" s="17" t="s">
        <v>593</v>
      </c>
      <c r="M13" s="17" t="s">
        <v>51</v>
      </c>
      <c r="N13" s="17" t="inlineStr">
        <is>
          <t xml:space="preserve">☑</t>
        </is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inlineStr">
        <is>
          <t xml:space="preserve">01/08/2026</t>
        </is>
      </c>
      <c r="E15" s="17" t="s">
        <v>6</v>
      </c>
      <c r="F15" s="17" t="s">
        <v>32</v>
      </c>
      <c r="G15" s="17" t="s">
        <v>571</v>
      </c>
      <c r="H15" s="18" t="s">
        <v>610</v>
      </c>
      <c r="I15" s="18" t="inlineStr">
        <is>
          <t xml:space="preserve">Renewal not due yet — follow up 01/08/2026</t>
        </is>
      </c>
      <c r="J15" s="17" t="s">
        <v>611</v>
      </c>
      <c r="K15" s="17"/>
      <c r="L15" s="17" t="inlineStr">
        <is>
          <t xml:space="preserve">01/08/2026</t>
        </is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inlineStr">
        <is>
          <t xml:space="preserve">12/06/2026</t>
        </is>
      </c>
      <c r="E16" s="17" t="s">
        <v>6</v>
      </c>
      <c r="F16" s="17" t="s">
        <v>32</v>
      </c>
      <c r="G16" s="17" t="inlineStr">
        <is>
          <t xml:space="preserve">Marketing</t>
        </is>
      </c>
      <c r="H16" s="18" t="inlineStr">
        <is>
          <t xml:space="preserve">Allevia B-29-01 avail 01/07/2026 — For Rent RM9,500/mo OR For Sale RM2.3mil; find tenant or buyer</t>
        </is>
      </c>
      <c r="I16" s="18" t="inlineStr">
        <is>
          <t xml:space="preserve">Marketing Allevia B-29-01 from 09/06 (tenant needed by 01/07). B-22-01 now let by another agent (Nick Lu), lease 15/06/2026. Lead match 09/06: 马太太 (sale, RM2.3m vs RM2m budget — stretch); no active tenant at RM9,500 yet. Yield ~5% — pitch investor buyers.</t>
        </is>
      </c>
      <c r="J16" s="17" t="inlineStr">
        <is>
          <t xml:space="preserve">Market for rent (RM9,500/mo) &amp; sale (RM2.3mil); match to active leads</t>
        </is>
      </c>
      <c r="K16" s="17"/>
      <c r="L16" s="17" t="s">
        <v>574</v>
      </c>
      <c r="M16" s="17" t="s">
        <v>51</v>
      </c>
      <c r="N16" s="17" t="s">
        <v>575</v>
      </c>
      <c r="O16" s="17"/>
    </row>
    <row r="17" ht="22.5" customHeight="1">
      <c r="A17" s="17" t="inlineStr">
        <is>
          <t>L059</t>
        </is>
      </c>
      <c r="B17" s="18" t="inlineStr">
        <is>
          <t>Ms Norain</t>
        </is>
      </c>
      <c r="C17" s="17" t="inlineStr">
        <is>
          <t>Malaysian</t>
        </is>
      </c>
      <c r="D17" s="17" t="inlineStr">
        <is>
          <t xml:space="preserve">12/06/2026</t>
        </is>
      </c>
      <c r="E17" s="17" t="inlineStr">
        <is>
          <t>WhatsApp</t>
        </is>
      </c>
      <c r="F17" s="17" t="inlineStr">
        <is>
          <t>Hot 🔥</t>
        </is>
      </c>
      <c r="G17" s="17" t="inlineStr">
        <is>
          <t xml:space="preserve">Active — sourcing/listing</t>
        </is>
      </c>
      <c r="H17" s="18" t="inlineStr">
        <is>
          <t xml:space="preserve">Astrea MK Unit 12-07 rental listing — owner Ms Norain</t>
        </is>
      </c>
      <c r="I17" s="18" t="inlineStr">
        <is>
          <t xml:space="preserve">Co-agent meeting (Angelin) 08/06 did not happen. Continuing to help owner source/list.</t>
        </is>
      </c>
      <c r="J17" s="17" t="inlineStr">
        <is>
          <t xml:space="preserve">Continue helping owner — discuss listing terms / market unit when ready.</t>
        </is>
      </c>
      <c r="K17" s="17" t="inlineStr">
        <is>
          <t xml:space="preserve">—</t>
        </is>
      </c>
      <c r="L17" s="17"/>
      <c r="M17" s="17" t="inlineStr">
        <is>
          <t>Malay, English</t>
        </is>
      </c>
      <c r="N17" s="17" t="inlineStr">
        <is>
          <t>☐</t>
        </is>
      </c>
      <c r="O17" s="17" t="inlineStr">
        <is>
          <t xml:space="preserve">Angelin (co-agent) +60 12-397 2889 — 08/06 meeting did not happen.</t>
        </is>
      </c>
    </row>
    <row r="18" ht="22.5" customHeight="1">
      <c r="A18" s="17" t="inlineStr">
        <is>
          <t xml:space="preserve">L060</t>
        </is>
      </c>
      <c r="B18" s="18" t="inlineStr">
        <is>
          <t xml:space="preserve">Aisyah Hamid</t>
        </is>
      </c>
      <c r="C18" s="17" t="inlineStr">
        <is>
          <t xml:space="preserve">Malaysian</t>
        </is>
      </c>
      <c r="D18" s="17" t="inlineStr">
        <is>
          <t xml:space="preserve">12/06/2026</t>
        </is>
      </c>
      <c r="E18" s="17" t="inlineStr">
        <is>
          <t xml:space="preserve">WhatsApp</t>
        </is>
      </c>
      <c r="F18" s="17" t="inlineStr">
        <is>
          <t xml:space="preserve">Hot 🔥</t>
        </is>
      </c>
      <c r="G18" s="17" t="inlineStr">
        <is>
          <t xml:space="preserve">New Lead</t>
        </is>
      </c>
      <c r="H18" s="18" t="inlineStr">
        <is>
          <t xml:space="preserve">F&amp;B shoplot search — ground floor, Gombak (KLTS), ~RM6k/mo</t>
        </is>
      </c>
      <c r="I18" s="18" t="inlineStr">
        <is>
          <t xml:space="preserve">New iProperty lead. Existing outlets: JNC Burger Bangi &amp; Bukit Jelutong. Traffic-check follow-up sent 09/06 (she scouted weekday foot traffic Mon).</t>
        </is>
      </c>
      <c r="J18" s="17" t="inlineStr">
        <is>
          <t xml:space="preserve">Contact to qualify (size/budget/location); source ground-floor shoplots in Gombak</t>
        </is>
      </c>
      <c r="K18" s="17"/>
      <c r="L18" s="17"/>
      <c r="M18" s="17" t="inlineStr">
        <is>
          <t xml:space="preserve">Malay, English</t>
        </is>
      </c>
      <c r="N18" s="17" t="inlineStr">
        <is>
          <t xml:space="preserve">☐</t>
        </is>
      </c>
      <c r="O18" s="17" t="inlineStr">
        <is>
          <t xml:space="preserve">Plans to move in Aug 2026; observing weekday foot traffic (Mon) — follow up Tue.</t>
        </is>
      </c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s">
        <v>629</v>
      </c>
      <c r="E4" s="11" t="s">
        <v>630</v>
      </c>
      <c r="F4" s="11" t="s">
        <v>631</v>
      </c>
      <c r="G4" s="11" t="inlineStr">
        <is>
          <t xml:space="preserve">Viewed — Interested (negotiating)</t>
        </is>
      </c>
      <c r="H4" s="36">
        <v>9200000</v>
      </c>
      <c r="I4" s="37">
        <v>0.02</v>
      </c>
      <c r="J4" s="38">
        <f t="shared" ref="J4:J8" si="1">H4*I4</f>
        <v>184000</v>
      </c>
      <c r="K4" s="11"/>
      <c r="L4" s="11"/>
      <c r="M4" s="11"/>
      <c r="N4" s="11"/>
      <c r="O4" s="12" t="inlineStr">
        <is>
          <t xml:space="preserve">Viewed 09/06 — INTERESTED in 9 Jln Laman Setiakasih 8 (6,600sf, 4+1). Asking RM9.2m. Negotiate / place offer. Local Chinese loan buyer.</t>
        </is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s">
        <v>641</v>
      </c>
      <c r="E6" s="42" t="s">
        <v>56</v>
      </c>
      <c r="F6" s="42" t="s">
        <v>631</v>
      </c>
      <c r="G6" s="42" t="s">
        <v>642</v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s">
        <v>643</v>
      </c>
    </row>
    <row r="7" ht="22.5" customHeight="1">
      <c r="A7" s="14" t="s">
        <v>644</v>
      </c>
      <c r="B7" s="15" t="s">
        <v>79</v>
      </c>
      <c r="C7" s="14" t="s">
        <v>80</v>
      </c>
      <c r="D7" s="15" t="s">
        <v>645</v>
      </c>
      <c r="E7" s="14" t="s">
        <v>56</v>
      </c>
      <c r="F7" s="14" t="s">
        <v>631</v>
      </c>
      <c r="G7" s="14" t="s">
        <v>646</v>
      </c>
      <c r="H7" s="47">
        <v>2000000.0</v>
      </c>
      <c r="I7" s="48">
        <v>0.02</v>
      </c>
      <c r="J7" s="49">
        <f t="shared" si="1"/>
        <v>40000</v>
      </c>
      <c r="K7" s="14"/>
      <c r="L7" s="14"/>
      <c r="M7" s="14"/>
      <c r="N7" s="14"/>
      <c r="O7" s="15" t="s">
        <v>647</v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s">
        <v>650</v>
      </c>
      <c r="H8" s="50">
        <v>5000000.0</v>
      </c>
      <c r="I8" s="51">
        <v>0.02</v>
      </c>
      <c r="J8" s="52">
        <f t="shared" si="1"/>
        <v>100000</v>
      </c>
      <c r="K8" s="8"/>
      <c r="L8" s="8"/>
      <c r="M8" s="8"/>
      <c r="N8" s="8"/>
      <c r="O8" s="9" t="s">
        <v>651</v>
      </c>
    </row>
    <row r="9" ht="32.25" customHeight="1">
      <c r="A9" s="8" t="inlineStr">
        <is>
          <t xml:space="preserve">D006</t>
        </is>
      </c>
      <c r="B9" s="9" t="inlineStr">
        <is>
          <t xml:space="preserve">Brian Cheah Jun Yu</t>
        </is>
      </c>
      <c r="C9" s="8" t="inlineStr">
        <is>
          <t xml:space="preserve">Malaysia</t>
        </is>
      </c>
      <c r="D9" s="9" t="inlineStr">
        <is>
          <t xml:space="preserve">AmanAra Residence, Bandar Utama</t>
        </is>
      </c>
      <c r="E9" s="8" t="inlineStr">
        <is>
          <t xml:space="preserve">Bandar Utama</t>
        </is>
      </c>
      <c r="F9" s="8" t="inlineStr">
        <is>
          <t xml:space="preserve">Rental</t>
        </is>
      </c>
      <c r="G9" s="8" t="inlineStr">
        <is>
          <t xml:space="preserve">Viewing Done — Awaiting Decision</t>
        </is>
      </c>
      <c r="H9" s="50">
        <v>6500</v>
      </c>
      <c r="I9" s="51"/>
      <c r="J9" s="52">
        <v>6500</v>
      </c>
      <c r="K9" s="8"/>
      <c r="L9" s="8"/>
      <c r="M9" s="8"/>
      <c r="N9" s="8"/>
      <c r="O9" s="9" t="inlineStr">
        <is>
          <t xml:space="preserve">Viewed AmanAra 04/06 via JY Kam co-broke. Awaiting decision. Rent RM5.5k PF / ~RM6.5k FF (confirm). Comm = 1 mth rent.</t>
        </is>
      </c>
    </row>
    <row r="10" ht="32.25" customHeight="1">
      <c r="A10" s="8" t="inlineStr">
        <is>
          <t xml:space="preserve">D007</t>
        </is>
      </c>
      <c r="B10" s="9" t="inlineStr">
        <is>
          <t xml:space="preserve">Aisyah Hamid</t>
        </is>
      </c>
      <c r="C10" s="8" t="inlineStr">
        <is>
          <t xml:space="preserve">Malaysia</t>
        </is>
      </c>
      <c r="D10" s="9" t="inlineStr">
        <is>
          <t xml:space="preserve">Gombak Shoplot (KLTS Gombak)</t>
        </is>
      </c>
      <c r="E10" s="8" t="inlineStr">
        <is>
          <t xml:space="preserve">Gombak</t>
        </is>
      </c>
      <c r="F10" s="8" t="inlineStr">
        <is>
          <t xml:space="preserve">Rental</t>
        </is>
      </c>
      <c r="G10" s="8" t="inlineStr">
        <is>
          <t xml:space="preserve">Qualifying / Sourcing</t>
        </is>
      </c>
      <c r="H10" s="50">
        <v>6000</v>
      </c>
      <c r="I10" s="51"/>
      <c r="J10" s="52">
        <v>6000</v>
      </c>
      <c r="K10" s="8"/>
      <c r="L10" s="8"/>
      <c r="M10" s="8"/>
      <c r="N10" s="8"/>
      <c r="O10" s="9" t="inlineStr">
        <is>
          <t xml:space="preserve">F&amp;B tenant (JNC Burger). Ground-floor Gombak shoplot ~RM6k/mo. Target move-in Aug 2026. Comm = 1 mth rent.</t>
        </is>
      </c>
    </row>
    <row r="11">
      <c r="A11" s="53" t="inlineStr">
        <is>
          <t xml:space="preserve">TOTAL ESTIMATED COMMISSION (if all close)</t>
        </is>
      </c>
      <c r="B11" s="54"/>
      <c r="C11" s="54"/>
      <c r="D11" s="54"/>
      <c r="E11" s="54"/>
      <c r="F11" s="54"/>
      <c r="G11" s="54"/>
      <c r="H11" s="54"/>
      <c r="I11" s="55"/>
      <c r="J11" s="56">
        <f>SUM(J4:J10)</f>
        <v>412500</v>
      </c>
      <c r="K11" s="57"/>
      <c r="L11" s="57"/>
      <c r="M11" s="57"/>
      <c r="N11" s="57"/>
      <c r="O11" s="57"/>
    </row>
    <row r="12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</row>
    <row r="13">
      <c r="A13" s="25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</row>
    <row r="14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11:I11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60</t>
        </is>
      </c>
      <c r="B5" s="55"/>
      <c r="C5" s="25"/>
      <c r="D5" s="61" t="inlineStr">
        <is>
          <t>11</t>
        </is>
      </c>
      <c r="E5" s="55"/>
      <c r="F5" s="25"/>
      <c r="G5" s="61" t="s">
        <v>661</v>
      </c>
      <c r="H5" s="55"/>
      <c r="I5" s="25"/>
      <c r="J5" s="61" t="s">
        <v>662</v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inlineStr">
        <is>
          <t xml:space="preserve">RM 20.0mil</t>
        </is>
      </c>
      <c r="E9" s="55"/>
      <c r="F9" s="25"/>
      <c r="G9" s="61" t="inlineStr">
        <is>
          <t xml:space="preserve">RM 412.5k</t>
        </is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inlineStr">
        <is>
          <t xml:space="preserve">7 active deals · 5 sale + 2 rent</t>
        </is>
      </c>
      <c r="E10" s="55"/>
      <c r="F10" s="25"/>
      <c r="G10" s="62" t="inlineStr">
        <is>
          <t xml:space="preserve">if all 7 close (incl 2 rentals)</t>
        </is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inlineStr">
        <is>
          <t xml:space="preserve">🔥 Close NOW — Datuk Francis keen on RM9.2m DH bungalow (= RM184k comm). 5 sale deals ~RM400k total. Daily focus.</t>
        </is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