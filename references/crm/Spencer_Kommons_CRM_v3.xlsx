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<sst xmlns="http://schemas.openxmlformats.org/spreadsheetml/2006/main" count="1559" uniqueCount="720">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</sst>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Keen on 9 Jln Laman Setiakasih 8 DH (RM9.2m) after 09/06. Now PREFERS bungalow LAND to build himself — viewing Hartamas Heights/Country Heights Damansara, ~7,000–8,000sf.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Active — helping look around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 for rent. Co-agent meeting (Angelin) 08/06 did not happen; continuing to help source/list.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Gombak (Patrick Chow's unit)</t>
        </is>
      </c>
      <c r="I15" s="74" t="inlineStr">
        <is>
          <t xml:space="preserve">Tenant</t>
        </is>
      </c>
      <c r="J15" s="74" t="inlineStr">
        <is>
          <t xml:space="preserve">Details shared — pending HQ</t>
        </is>
      </c>
      <c r="K15" s="73" t="inlineStr">
        <is>
          <t xml:space="preserve">Hot 🔥</t>
        </is>
      </c>
      <c r="L15" s="74" t="inlineStr">
        <is>
          <t xml:space="preserve">KLTS Gombak</t>
        </is>
      </c>
      <c r="M15" s="73" t="inlineStr">
        <is>
          <t xml:space="preserve">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Gombak (Patrick Chow's unit)</t>
        </is>
      </c>
      <c r="R15" s="75"/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Gombak shoplot @ RM9,000/mo. Shared all details 09/06; pending client to propose to HQ and revert.</t>
        </is>
      </c>
      <c r="V15" s="75" t="inlineStr">
        <is>
          <t xml:space="preserve">F&amp;B Tenant / Shoplot</t>
        </is>
      </c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Prefers bungalow LAND to build himself. 11/06 viewings (Thu): 4pm 119 Sunway Kiara Hills (RM4.5m); 4:30pm Hartamas Hts bungalow LAND 6,500sf RM6.18m (Caydence); 5pm Hartamas Hts bungalow L/A 9,795sf B/U 15,127sf 7+8 RM18m (Teoh); 5:30pm Hartamas Hts bungalow LAND 17,997sf RM11m (Kelvin Moh). Keen on Laman Setiakasih 8 (RM9.2m).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Prep 11/06 3 viewings (Datuk now prefers LAND to build). Pursue Laman Setiakasih 8 offer. Source more bungalow land — Hartamas Heights / Country Heights Damansara.</t>
        </is>
      </c>
      <c r="K5" s="11" t="inlineStr">
        <is>
          <t xml:space="preserve">11/06 (Thu) 4pm 119 Sunway Kiara Hills; 4:30pm Hartamas Hts land 6,500sf RM6.18m; 5pm Hartamas Hts bungalow RM18m; 5:30pm Hartamas Hts land 17,997sf RM11m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Caydence +60102462822 (6,500sf land); Teoh (RM18m bungalow); Kelvin Moh +60195215527 (17,997sf land).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 Lead match 09/06: 马太太 (sale, RM2.3m vs RM2m budget — stretch); no active tenant at RM9,500 yet. Yield ~5% — pitch investor buyers.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Active — sourcing/listing</t>
        </is>
      </c>
      <c r="H17" s="18" t="inlineStr">
        <is>
          <t xml:space="preserve">Astrea MK Unit 12-07 rental listing — owner Ms Norain</t>
        </is>
      </c>
      <c r="I17" s="18" t="inlineStr">
        <is>
          <t xml:space="preserve">Co-agent meeting (Angelin) 08/06 did not happen. Continuing to help owner source/list.</t>
        </is>
      </c>
      <c r="J17" s="17" t="inlineStr">
        <is>
          <t xml:space="preserve">Continue helping owner — discuss listing terms / market unit when ready.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Angelin (co-agent) +60 12-397 2889 — 08/06 meeting did not happen.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Pending HQ approval</t>
        </is>
      </c>
      <c r="H19" s="18" t="inlineStr">
        <is>
          <t xml:space="preserve">KLTS Gombak shoplot (Patrick Chow's unit) — RM9,000/mo</t>
        </is>
      </c>
      <c r="I19" s="18" t="inlineStr">
        <is>
          <t xml:space="preserve">Shared all details 09/06; pending client to propose to HQ and revert.</t>
        </is>
      </c>
      <c r="J19" s="17" t="inlineStr">
        <is>
          <t xml:space="preserve">Follow up on HQ decision</t>
        </is>
      </c>
      <c r="K19" s="17" t="inlineStr">
        <is>
          <t xml:space="preserve">10/06/2026 2pm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Gombak shoplot (Patrick Chow's unit)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Pending HQ approval</t>
        </is>
      </c>
      <c r="H11" s="50">
        <v>9000</v>
      </c>
      <c r="I11" s="51"/>
      <c r="J11" s="52">
        <v>9000</v>
      </c>
      <c r="K11" s="8"/>
      <c r="L11" s="8"/>
      <c r="M11" s="8"/>
      <c r="N11" s="8"/>
      <c r="O11" s="9" t="inlineStr">
        <is>
          <t xml:space="preserve">F&amp;B (Kenangan Coffee) for Patrick Chow's KLTS Gombak unit. Details shared 09/06; pending HQ. Follow up 10/06 2pm. Comm = 1 mth rent.</t>
        </is>
      </c>
    </row>
    <row r="12">
      <c r="A12" s="53" t="inlineStr">
        <is>
          <t xml:space="preserve">TOTAL ESTIMATED COMMISSION (if all close)</t>
        </is>
      </c>
      <c r="B12" s="54"/>
      <c r="C12" s="54"/>
      <c r="D12" s="54"/>
      <c r="E12" s="54"/>
      <c r="F12" s="54"/>
      <c r="G12" s="54"/>
      <c r="H12" s="54"/>
      <c r="I12" s="55"/>
      <c r="J12" s="56">
        <f>SUM(J4:J11)</f>
        <v>421500</v>
      </c>
      <c r="K12" s="57"/>
      <c r="L12" s="57"/>
      <c r="M12" s="57"/>
      <c r="N12" s="57"/>
      <c r="O12" s="57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2:I12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61</t>
        </is>
      </c>
      <c r="B5" s="55"/>
      <c r="C5" s="25"/>
      <c r="D5" s="61" t="inlineStr">
        <is>
          <t>12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421.5k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8 active deals · 5 sale + 3 rent</t>
        </is>
      </c>
      <c r="E10" s="55"/>
      <c r="F10" s="25"/>
      <c r="G10" s="62" t="inlineStr">
        <is>
          <t xml:space="preserve">if all 8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