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<sst xmlns="http://schemas.openxmlformats.org/spreadsheetml/2006/main" count="1559" uniqueCount="720">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</sst>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4" t="s">
        <v>48</v>
      </c>
      <c r="B5" s="15" t="s">
        <v>49</v>
      </c>
      <c r="C5" s="15" t="s">
        <v>50</v>
      </c>
      <c r="D5" s="14" t="s">
        <v>51</v>
      </c>
      <c r="E5" s="15" t="s">
        <v>52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Viewing / Negotiating — Hijauan &amp; MK Damai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08/07/2026</t>
        </is>
      </c>
      <c r="U5" s="15" t="inlineStr">
        <is>
          <t xml:space="preserve">Buy for own stay then rent. Prefer Hijauan Kiara + Trinity Pentamont (RM1.75m, Lvl 2, below mkt — keen to view). OPEN balcony only (dislike lanai). Budget ~RM1.8m.</t>
        </is>
      </c>
      <c r="V5" s="15" t="s">
        <v>64</v>
      </c>
    </row>
    <row r="6" ht="22.5" customHeight="1">
      <c r="A6" s="14" t="s">
        <v>65</v>
      </c>
      <c r="B6" s="15" t="s">
        <v>66</v>
      </c>
      <c r="C6" s="15" t="s">
        <v>67</v>
      </c>
      <c r="D6" s="14" t="s">
        <v>51</v>
      </c>
      <c r="E6" s="15" t="s">
        <v>68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08/07/2026</t>
        </is>
      </c>
      <c r="U6" s="15" t="inlineStr">
        <is>
          <t xml:space="preserve">Buy for own stay then rent. Prefer Hijauan Kiara + Trinity Pentamont (RM1.75m, Lvl 2, below mkt — keen to view). OPEN balcony only (dislike lanai). Budget ~RM1.8m.</t>
        </is>
      </c>
      <c r="V6" s="15" t="s">
        <v>64</v>
      </c>
    </row>
    <row r="7" ht="22.5" customHeight="1">
      <c r="A7" s="17" t="s">
        <v>69</v>
      </c>
      <c r="B7" s="18" t="s">
        <v>70</v>
      </c>
      <c r="C7" s="18" t="s">
        <v>71</v>
      </c>
      <c r="D7" s="17" t="s">
        <v>51</v>
      </c>
      <c r="E7" s="18" t="s">
        <v>72</v>
      </c>
      <c r="F7" s="18"/>
      <c r="G7" s="18" t="s">
        <v>6</v>
      </c>
      <c r="H7" s="18" t="s">
        <v>42</v>
      </c>
      <c r="I7" s="18" t="s">
        <v>73</v>
      </c>
      <c r="J7" s="18" t="s">
        <v>74</v>
      </c>
      <c r="K7" s="17" t="s">
        <v>75</v>
      </c>
      <c r="L7" s="18" t="s">
        <v>56</v>
      </c>
      <c r="M7" s="19">
        <v>4000.0</v>
      </c>
      <c r="N7" s="19"/>
      <c r="O7" s="17" t="s">
        <v>57</v>
      </c>
      <c r="P7" s="18" t="s">
        <v>58</v>
      </c>
      <c r="Q7" s="18"/>
      <c r="R7" s="18"/>
      <c r="S7" s="17"/>
      <c r="T7" s="17"/>
      <c r="U7" s="18" t="s">
        <v>76</v>
      </c>
      <c r="V7" s="18" t="s">
        <v>77</v>
      </c>
    </row>
    <row r="8">
      <c r="A8" s="17" t="s">
        <v>78</v>
      </c>
      <c r="B8" s="18" t="s">
        <v>79</v>
      </c>
      <c r="C8" s="18" t="s">
        <v>80</v>
      </c>
      <c r="D8" s="17" t="s">
        <v>27</v>
      </c>
      <c r="E8" s="18"/>
      <c r="F8" s="18" t="s">
        <v>81</v>
      </c>
      <c r="G8" s="18" t="s">
        <v>82</v>
      </c>
      <c r="H8" s="18" t="s">
        <v>83</v>
      </c>
      <c r="I8" s="18" t="s">
        <v>43</v>
      </c>
      <c r="J8" s="18" t="inlineStr">
        <is>
          <t xml:space="preserve">Nurture — not ready to buy yet</t>
        </is>
      </c>
      <c r="K8" s="17" t="s">
        <v>32</v>
      </c>
      <c r="L8" s="18" t="s">
        <v>84</v>
      </c>
      <c r="M8" s="19">
        <v>2000000.0</v>
      </c>
      <c r="N8" s="19"/>
      <c r="O8" s="17" t="s">
        <v>57</v>
      </c>
      <c r="P8" s="18" t="s">
        <v>58</v>
      </c>
      <c r="Q8" s="18"/>
      <c r="R8" s="18"/>
      <c r="S8" s="17"/>
      <c r="T8" s="17" t="inlineStr">
        <is>
          <t xml:space="preserve">31/07/2026</t>
        </is>
      </c>
      <c r="U8" s="18" t="s">
        <v>85</v>
      </c>
      <c r="V8" s="18" t="s">
        <v>86</v>
      </c>
    </row>
    <row r="9" ht="32.25" customHeight="1">
      <c r="A9" s="17" t="s">
        <v>87</v>
      </c>
      <c r="B9" s="18" t="s">
        <v>88</v>
      </c>
      <c r="C9" s="18" t="s">
        <v>89</v>
      </c>
      <c r="D9" s="17" t="s">
        <v>27</v>
      </c>
      <c r="E9" s="18"/>
      <c r="F9" s="18" t="s">
        <v>90</v>
      </c>
      <c r="G9" s="18" t="s">
        <v>82</v>
      </c>
      <c r="H9" s="18" t="s">
        <v>91</v>
      </c>
      <c r="I9" s="18" t="s">
        <v>43</v>
      </c>
      <c r="J9" s="18" t="s">
        <v>92</v>
      </c>
      <c r="K9" s="17" t="s">
        <v>32</v>
      </c>
      <c r="L9" s="18" t="s">
        <v>56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 t="s">
        <v>93</v>
      </c>
      <c r="T9" s="17"/>
      <c r="U9" s="18" t="s">
        <v>94</v>
      </c>
      <c r="V9" s="18" t="s">
        <v>86</v>
      </c>
    </row>
    <row r="10" ht="32.25" customHeight="1">
      <c r="A10" s="11" t="s">
        <v>95</v>
      </c>
      <c r="B10" s="12" t="s">
        <v>96</v>
      </c>
      <c r="C10" s="12" t="s">
        <v>97</v>
      </c>
      <c r="D10" s="11" t="s">
        <v>51</v>
      </c>
      <c r="E10" s="12" t="s">
        <v>98</v>
      </c>
      <c r="F10" s="12"/>
      <c r="G10" s="12"/>
      <c r="H10" s="12" t="s">
        <v>99</v>
      </c>
      <c r="I10" s="12" t="s">
        <v>43</v>
      </c>
      <c r="J10" s="12" t="s">
        <v>100</v>
      </c>
      <c r="K10" s="11" t="s">
        <v>32</v>
      </c>
      <c r="L10" s="12" t="s">
        <v>56</v>
      </c>
      <c r="M10" s="13">
        <v>4500000</v>
      </c>
      <c r="N10" s="13"/>
      <c r="O10" s="11" t="s">
        <v>57</v>
      </c>
      <c r="P10" s="12" t="s">
        <v>58</v>
      </c>
      <c r="Q10" s="12" t="s">
        <v>101</v>
      </c>
      <c r="R10" s="12" t="s">
        <v>102</v>
      </c>
      <c r="S10" s="20">
        <v>46179</v>
      </c>
      <c r="T10" s="20">
        <v>46183</v>
      </c>
      <c r="U10" s="12" t="inlineStr">
        <is>
          <t xml:space="preserve">Indian purchaser, MAX RM4.5m. AB-39-02 MK 10 — owner floor RM4.7m; Umesh quiet (likely declining at price). LOAN 70%. NEXT: source alternatives ~RM4.5m (MK 10/nearby); soft follow-up ~26/06.</t>
        </is>
      </c>
      <c r="V10" s="12" t="s">
        <v>104</v>
      </c>
    </row>
    <row r="11" ht="22.5" customHeight="1">
      <c r="A11" s="73" t="inlineStr">
        <is>
          <t>L059</t>
        </is>
      </c>
      <c r="B11" s="74" t="inlineStr">
        <is>
          <t>Ms Norain</t>
        </is>
      </c>
      <c r="C11" s="74" t="inlineStr">
        <is>
          <t>Malaysian</t>
        </is>
      </c>
      <c r="D11" s="73" t="inlineStr">
        <is>
          <t>Malay, English</t>
        </is>
      </c>
      <c r="E11" s="74" t="inlineStr">
        <is>
          <t>+60162138240</t>
        </is>
      </c>
      <c r="F11" s="74"/>
      <c r="G11" s="74" t="inlineStr">
        <is>
          <t>WhatsApp</t>
        </is>
      </c>
      <c r="H11" s="74"/>
      <c r="I11" s="74" t="inlineStr">
        <is>
          <t>Owner</t>
        </is>
      </c>
      <c r="J11" s="74" t="inlineStr">
        <is>
          <t xml:space="preserve">Proposed prospect — pending acceptance</t>
        </is>
      </c>
      <c r="K11" s="73" t="inlineStr">
        <is>
          <t>Hot 🔥</t>
        </is>
      </c>
      <c r="L11" s="74" t="inlineStr">
        <is>
          <t>Mont Kiara</t>
        </is>
      </c>
      <c r="M11" s="73" t="inlineStr">
        <is>
          <t xml:space="preserve">7,500 /mo</t>
        </is>
      </c>
      <c r="N11" s="73"/>
      <c r="O11" s="73"/>
      <c r="P11" s="74" t="inlineStr">
        <is>
          <t>Condo</t>
        </is>
      </c>
      <c r="Q11" s="75" t="inlineStr">
        <is>
          <t>Astrea Mont Kiara</t>
        </is>
      </c>
      <c r="R11" s="75" t="inlineStr">
        <is>
          <t>12-07</t>
        </is>
      </c>
      <c r="S11" s="76"/>
      <c r="T11" s="76" t="inlineStr">
        <is>
          <t xml:space="preserve">12/06/2026</t>
        </is>
      </c>
      <c r="U11" s="75" t="inlineStr">
        <is>
          <t xml:space="preserve">Owner — Astrea MK 12-07, master rental listing @ RM7,500/mo. 10/06 showing to Ms Yoon (Korean) — not keen; sourcing another tenant.</t>
        </is>
      </c>
      <c r="V11" s="75" t="inlineStr">
        <is>
          <t>Owner / Rental listing</t>
        </is>
      </c>
    </row>
    <row r="12" ht="22.5" customHeight="1">
      <c r="A12" s="73" t="inlineStr">
        <is>
          <t xml:space="preserve">L061</t>
        </is>
      </c>
      <c r="B12" s="74" t="inlineStr">
        <is>
          <t xml:space="preserve">Nas (Kenangan Coffee)</t>
        </is>
      </c>
      <c r="C12" s="74" t="inlineStr">
        <is>
          <t xml:space="preserve">Malaysian</t>
        </is>
      </c>
      <c r="D12" s="73" t="inlineStr">
        <is>
          <t xml:space="preserve">Malay, English</t>
        </is>
      </c>
      <c r="E12" s="74" t="inlineStr">
        <is>
          <t xml:space="preserve">+60194707037</t>
        </is>
      </c>
      <c r="F12" s="74"/>
      <c r="G12" s="74" t="inlineStr">
        <is>
          <t xml:space="preserve">WhatsApp</t>
        </is>
      </c>
      <c r="H12" s="74" t="inlineStr">
        <is>
          <t xml:space="preserve">iProperty — KLTS Setapak 51-G-1 (Patrick Chow)</t>
        </is>
      </c>
      <c r="I12" s="74" t="inlineStr">
        <is>
          <t xml:space="preserve">Tenant</t>
        </is>
      </c>
      <c r="J12" s="74" t="inlineStr">
        <is>
          <t xml:space="preserve">Offer letter signed — deposit pending</t>
        </is>
      </c>
      <c r="K12" s="73" t="inlineStr">
        <is>
          <t xml:space="preserve">Hot 🔥</t>
        </is>
      </c>
      <c r="L12" s="74" t="inlineStr">
        <is>
          <t xml:space="preserve">Setapak</t>
        </is>
      </c>
      <c r="M12" s="73" t="inlineStr">
        <is>
          <t xml:space="preserve">8,500–9,000 /mo</t>
        </is>
      </c>
      <c r="N12" s="73"/>
      <c r="O12" s="73"/>
      <c r="P12" s="74" t="inlineStr">
        <is>
          <t xml:space="preserve">Commercial Shoplot</t>
        </is>
      </c>
      <c r="Q12" s="75" t="inlineStr">
        <is>
          <t xml:space="preserve">KLTS Setapak 51-G-1 (Patrick Chow)</t>
        </is>
      </c>
      <c r="R12" s="75" t="inlineStr">
        <is>
          <t xml:space="preserve">51-G-1</t>
        </is>
      </c>
      <c r="S12" s="76" t="inlineStr">
        <is>
          <t xml:space="preserve">09/06/2026</t>
        </is>
      </c>
      <c r="T12" s="76" t="inlineStr">
        <is>
          <t xml:space="preserve">10/06/2026</t>
        </is>
      </c>
      <c r="U12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2" s="75" t="inlineStr">
        <is>
          <t xml:space="preserve">F&amp;B Tenant / Shoplot</t>
        </is>
      </c>
    </row>
    <row r="13" ht="22.5" customHeight="1">
      <c r="A13" s="73" t="inlineStr">
        <is>
          <t xml:space="preserve">L062</t>
        </is>
      </c>
      <c r="B13" s="74" t="inlineStr">
        <is>
          <t xml:space="preserve">Stephanie</t>
        </is>
      </c>
      <c r="C13" s="74" t="inlineStr">
        <is>
          <t xml:space="preserve">Malaysian (husband Japanese)</t>
        </is>
      </c>
      <c r="D13" s="73" t="inlineStr">
        <is>
          <t xml:space="preserve">English, Chinese, Cantonese</t>
        </is>
      </c>
      <c r="E13" s="74" t="inlineStr">
        <is>
          <t xml:space="preserve">+60162212997</t>
        </is>
      </c>
      <c r="F13" s="74"/>
      <c r="G13" s="74" t="inlineStr">
        <is>
          <t xml:space="preserve">WhatsApp</t>
        </is>
      </c>
      <c r="H13" s="74" t="inlineStr">
        <is>
          <t xml:space="preserve">iProperty</t>
        </is>
      </c>
      <c r="I13" s="74" t="inlineStr">
        <is>
          <t xml:space="preserve">Tenant</t>
        </is>
      </c>
      <c r="J13" s="74" t="inlineStr">
        <is>
          <t xml:space="preserve">Viewed Astrea 20-01 (1,828sf 3BR)</t>
        </is>
      </c>
      <c r="K13" s="73" t="inlineStr">
        <is>
          <t xml:space="preserve">Hot 🔥</t>
        </is>
      </c>
      <c r="L13" s="74" t="inlineStr">
        <is>
          <t xml:space="preserve">Mont Kiara</t>
        </is>
      </c>
      <c r="M13" s="73" t="inlineStr">
        <is>
          <t xml:space="preserve">6,000 /mo</t>
        </is>
      </c>
      <c r="N13" s="73" t="inlineStr">
        <is>
          <t xml:space="preserve">1,828 sqft</t>
        </is>
      </c>
      <c r="O13" s="73" t="inlineStr">
        <is>
          <t xml:space="preserve">3</t>
        </is>
      </c>
      <c r="P13" s="74" t="inlineStr">
        <is>
          <t xml:space="preserve">Condo</t>
        </is>
      </c>
      <c r="Q13" s="75" t="inlineStr">
        <is>
          <t xml:space="preserve">Astrea Mont Kiara</t>
        </is>
      </c>
      <c r="R13" s="75" t="inlineStr">
        <is>
          <t xml:space="preserve">20-01</t>
        </is>
      </c>
      <c r="S13" s="76"/>
      <c r="T13" s="76" t="inlineStr">
        <is>
          <t xml:space="preserve">26/06/2026</t>
        </is>
      </c>
      <c r="U13" s="75" t="inlineStr">
        <is>
          <t xml:space="preserve">Tenant ~RM6k/mo, Malaysian (husband Japanese, 2 pax). Viewed Astrea 20-01 &amp; Ooak Suites (considering). Prefers PARTLY FURNISHED (not fully furnished).</t>
        </is>
      </c>
      <c r="V13" s="75" t="inlineStr">
        <is>
          <t xml:space="preserve">Local Chinese &amp; Japanese Tenant</t>
        </is>
      </c>
    </row>
    <row r="14" ht="22.5" customHeight="1">
      <c r="A14" s="73" t="inlineStr">
        <is>
          <t xml:space="preserve">L063</t>
        </is>
      </c>
      <c r="B14" s="74" t="inlineStr">
        <is>
          <t xml:space="preserve">Aaron</t>
        </is>
      </c>
      <c r="C14" s="74" t="inlineStr">
        <is>
          <t xml:space="preserve">Malaysian</t>
        </is>
      </c>
      <c r="D14" s="73" t="inlineStr">
        <is>
          <t xml:space="preserve">English</t>
        </is>
      </c>
      <c r="E14" s="74" t="inlineStr">
        <is>
          <t xml:space="preserve">+60122354261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 (also owner A-29-02 Allevia)</t>
        </is>
      </c>
      <c r="J14" s="74" t="inlineStr">
        <is>
          <t xml:space="preserve">Viewing B-29-01 07/07</t>
        </is>
      </c>
      <c r="K14" s="73" t="inlineStr">
        <is>
          <t xml:space="preserve">Hot 🔥</t>
        </is>
      </c>
      <c r="L14" s="74" t="inlineStr">
        <is>
          <t xml:space="preserve">Mont Kiara</t>
        </is>
      </c>
      <c r="M14" s="73" t="inlineStr">
        <is>
          <t xml:space="preserve">8,000–12,000 /mo</t>
        </is>
      </c>
      <c r="N14" s="73"/>
      <c r="O14" s="73" t="inlineStr">
        <is>
          <t xml:space="preserve">3</t>
        </is>
      </c>
      <c r="P14" s="74" t="inlineStr">
        <is>
          <t xml:space="preserve">Condo</t>
        </is>
      </c>
      <c r="Q14" s="75" t="inlineStr">
        <is>
          <t xml:space="preserve">Allevia</t>
        </is>
      </c>
      <c r="R14" s="75" t="inlineStr">
        <is>
          <t xml:space="preserve">owns A-29-02</t>
        </is>
      </c>
      <c r="S14" s="76"/>
      <c r="T14" s="76" t="inlineStr">
        <is>
          <t xml:space="preserve">07/07/2026</t>
        </is>
      </c>
      <c r="U14" s="75" t="inlineStr">
        <is>
          <t xml:space="preserve">Tenant for Allevia Tower A 3BR @ RM8–12k/mo. MATCHED to Sharavana's Allevia B-29-01 (RM9,500/mo) — arranging viewing. Owns A-29-02 but owner-occupied (own stay) — NOT for listing. Local Chinese.</t>
        </is>
      </c>
      <c r="V14" s="75" t="inlineStr">
        <is>
          <t xml:space="preserve">Local Chinese Tenant / Owner</t>
        </is>
      </c>
    </row>
    <row r="15" ht="22.5" customHeight="1">
      <c r="A15" s="73" t="inlineStr">
        <is>
          <t xml:space="preserve">L064</t>
        </is>
      </c>
      <c r="B15" s="74" t="inlineStr">
        <is>
          <t xml:space="preserve">Eleena</t>
        </is>
      </c>
      <c r="C15" s="74" t="inlineStr">
        <is>
          <t xml:space="preserve">Malaysian</t>
        </is>
      </c>
      <c r="D15" s="73" t="inlineStr">
        <is>
          <t xml:space="preserve">Malay, English</t>
        </is>
      </c>
      <c r="E15" s="74" t="inlineStr">
        <is>
          <t xml:space="preserve">+60179554304</t>
        </is>
      </c>
      <c r="F15" s="74"/>
      <c r="G15" s="74" t="inlineStr">
        <is>
          <t xml:space="preserve">WhatsApp</t>
        </is>
      </c>
      <c r="H15" s="74" t="inlineStr">
        <is>
          <t xml:space="preserve">iProperty</t>
        </is>
      </c>
      <c r="I15" s="74" t="inlineStr">
        <is>
          <t xml:space="preserve">Tenant</t>
        </is>
      </c>
      <c r="J15" s="74" t="inlineStr">
        <is>
          <t xml:space="preserve">Viewing arranged 16/06 (2 options)</t>
        </is>
      </c>
      <c r="K15" s="73" t="inlineStr">
        <is>
          <t xml:space="preserve">Hot 🔥</t>
        </is>
      </c>
      <c r="L15" s="74" t="inlineStr">
        <is>
          <t xml:space="preserve">Mont Kiara</t>
        </is>
      </c>
      <c r="M15" s="73" t="inlineStr">
        <is>
          <t xml:space="preserve">2,500–3,000 /mo</t>
        </is>
      </c>
      <c r="N15" s="73" t="inlineStr">
        <is>
          <t xml:space="preserve">500–800 sqft</t>
        </is>
      </c>
      <c r="O15" s="73"/>
      <c r="P15" s="74" t="inlineStr">
        <is>
          <t xml:space="preserve">Office lot</t>
        </is>
      </c>
      <c r="Q15" s="75" t="inlineStr">
        <is>
          <t xml:space="preserve">Plaza Mont Kiara</t>
        </is>
      </c>
      <c r="R15" s="75" t="inlineStr">
        <is>
          <t xml:space="preserve">Tower A</t>
        </is>
      </c>
      <c r="S15" s="76"/>
      <c r="T15" s="76" t="inlineStr">
        <is>
          <t xml:space="preserve">26/06/2026</t>
        </is>
      </c>
      <c r="U15" s="75" t="inlineStr">
        <is>
          <t xml:space="preserve">Local Malay law firm — rent 1 office lot, Plaza MK. Viewing 16/06 2pm: Block B 750sf RM3,000 &amp; Block E 800sf RM2,800 (both PF). 2yr, move-in Jul/Aug 2026.</t>
        </is>
      </c>
      <c r="V15" s="75" t="inlineStr">
        <is>
          <t xml:space="preserve">Office Tenant / Law Firm</t>
        </is>
      </c>
    </row>
    <row r="16" ht="22.5" customHeight="1">
      <c r="A16" s="73" t="inlineStr">
        <is>
          <t xml:space="preserve">L065</t>
        </is>
      </c>
      <c r="B16" s="74" t="inlineStr">
        <is>
          <t xml:space="preserve">Jackie's Client (Japanese)</t>
        </is>
      </c>
      <c r="C16" s="74" t="inlineStr">
        <is>
          <t xml:space="preserve">Japanese</t>
        </is>
      </c>
      <c r="D16" s="73" t="inlineStr">
        <is>
          <t xml:space="preserve">Japanese / English</t>
        </is>
      </c>
      <c r="E16" s="74"/>
      <c r="F16" s="74"/>
      <c r="G16" s="74" t="inlineStr">
        <is>
          <t xml:space="preserve">Co-agent Jackie</t>
        </is>
      </c>
      <c r="H16" s="74" t="inlineStr">
        <is>
          <t xml:space="preserve">Co-broke — Jackie</t>
        </is>
      </c>
      <c r="I16" s="74" t="inlineStr">
        <is>
          <t xml:space="preserve">Purchaser</t>
        </is>
      </c>
      <c r="J16" s="74" t="inlineStr">
        <is>
          <t xml:space="preserve">Viewed — interested Kiaraville B-6-1</t>
        </is>
      </c>
      <c r="K16" s="73" t="inlineStr">
        <is>
          <t xml:space="preserve">Hot 🔥</t>
        </is>
      </c>
      <c r="L16" s="74" t="inlineStr">
        <is>
          <t xml:space="preserve">Mont Kiara</t>
        </is>
      </c>
      <c r="M16" s="73" t="inlineStr">
        <is>
          <t xml:space="preserve">1,500,000</t>
        </is>
      </c>
      <c r="N16" s="73"/>
      <c r="O16" s="73"/>
      <c r="P16" s="74" t="inlineStr">
        <is>
          <t xml:space="preserve">Condo</t>
        </is>
      </c>
      <c r="Q16" s="75" t="inlineStr">
        <is>
          <t xml:space="preserve">Astrea / Kiaraville</t>
        </is>
      </c>
      <c r="R16" s="75"/>
      <c r="S16" s="76"/>
      <c r="T16" s="76" t="inlineStr">
        <is>
          <t xml:space="preserve">07/07/2026</t>
        </is>
      </c>
      <c r="U16" s="75" t="inlineStr">
        <is>
          <t xml:space="preserve">Japanese buyer via co-agent Jackie. Budget RM1.5m. Viewed 06/07 — quite interested in Kiaraville B-6-1 (RM1.47m). Push offer.</t>
        </is>
      </c>
      <c r="V16" s="75" t="inlineStr">
        <is>
          <t xml:space="preserve">Purchaser / Co-broke</t>
        </is>
      </c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inlineStr">
        <is>
          <t xml:space="preserve">Lease ended — re-letting</t>
        </is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inlineStr">
        <is>
          <t xml:space="preserve">Tenant Kim Jungju checked out 30/06/2026 9:30am. Unit (1,364sf) re-letting @ RM6,000/mo.</t>
        </is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inlineStr">
        <is>
          <t xml:space="preserve">21/06/2026</t>
        </is>
      </c>
      <c r="V50" s="22" t="inlineStr">
        <is>
          <t xml:space="preserve">Handover/check-in 21/06/2026 (Sun) 3pm at Inspirasi A-12-06. Handover completed 21/06/2026.</t>
        </is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inlineStr">
        <is>
          <t xml:space="preserve">Check-in completed 03/07/2026.</t>
        </is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inlineStr">
        <is>
          <t xml:space="preserve">30/06/2026</t>
        </is>
      </c>
      <c r="V52" s="22" t="inlineStr">
        <is>
          <t xml:space="preserve">Check-in 30/06/2026 (Tue) 1pm. Co-agent: Wei Young. Tenancy 01/07/2026–30/06/2028. Check-in completed.</t>
        </is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Offer Letter Signed + Deposit In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 (Lot 58629)</t>
        </is>
      </c>
      <c r="Q54" s="22" t="inlineStr">
        <is>
          <t xml:space="preserve">No. 21 — 6,500sf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22/06/2026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— Patrick Chow KLTS Setapak 51-G-1. RM8,500(yr1)/RM9,000(yr2-3), 3+3yrs. Offer letter SIGNED; earnest deposit pending payment.</t>
        </is>
      </c>
      <c r="W55" s="22"/>
      <c r="X55" s="22" t="inlineStr">
        <is>
          <t xml:space="preserve">F&amp;B Tenant</t>
        </is>
      </c>
    </row>
    <row r="56" ht="15.75" customHeight="1">
      <c r="A56" s="21" t="inlineStr">
        <is>
          <t xml:space="preserve">L034</t>
        </is>
      </c>
      <c r="B56" s="22" t="inlineStr">
        <is>
          <t xml:space="preserve">Datuk Francis (seller)</t>
        </is>
      </c>
      <c r="C56" s="22" t="inlineStr">
        <is>
          <t xml:space="preserve">Malaysia</t>
        </is>
      </c>
      <c r="D56" s="21" t="inlineStr">
        <is>
          <t xml:space="preserve">Mandarin</t>
        </is>
      </c>
      <c r="E56" s="22"/>
      <c r="F56" s="22"/>
      <c r="G56" s="22"/>
      <c r="H56" s="22"/>
      <c r="I56" s="22" t="inlineStr">
        <is>
          <t xml:space="preserve">Vendor / Seller</t>
        </is>
      </c>
      <c r="J56" s="22" t="inlineStr">
        <is>
          <t xml:space="preserve">Sold</t>
        </is>
      </c>
      <c r="K56" s="21"/>
      <c r="L56" s="22"/>
      <c r="M56" s="21">
        <v>420000</v>
      </c>
      <c r="N56" s="21"/>
      <c r="O56" s="22" t="inlineStr">
        <is>
          <t xml:space="preserve">Condominium</t>
        </is>
      </c>
      <c r="P56" s="22" t="inlineStr">
        <is>
          <t xml:space="preserve">Mulberi</t>
        </is>
      </c>
      <c r="Q56" s="22" t="inlineStr">
        <is>
          <t xml:space="preserve">13A-02</t>
        </is>
      </c>
      <c r="R56" s="21"/>
      <c r="S56" s="21"/>
      <c r="T56" s="21" t="inlineStr">
        <is>
          <t xml:space="preserve">19/06/2026</t>
        </is>
      </c>
      <c r="U56" s="21"/>
      <c r="V56" s="22" t="inlineStr">
        <is>
          <t xml:space="preserve">Datuk's unit 13A-02 Mulberi SOLD @ RM420,000. Co-broke 50/50 w/ Caydence; Spencer share 1.5% = RM6,300. (13A-03A still listed @ RM420k.)</t>
        </is>
      </c>
      <c r="W56" s="22"/>
      <c r="X56" s="22" t="inlineStr">
        <is>
          <t xml:space="preserve">Vendor / Sale</t>
        </is>
      </c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26/06/2026</t>
        </is>
      </c>
      <c r="E4" s="17" t="s">
        <v>6</v>
      </c>
      <c r="F4" s="17" t="s">
        <v>32</v>
      </c>
      <c r="G4" s="17" t="inlineStr">
        <is>
          <t xml:space="preserve">Quiet — sourcing alternatives</t>
        </is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Sent offer-first message; Umesh seen, no response — likely declining at owner RM4.7m (his max RM4.5m).</t>
        </is>
      </c>
      <c r="J4" s="17" t="inlineStr">
        <is>
          <t xml:space="preserve">SOURCE ALTERNATIVES ~RM4.5m: MK 10 &amp; nearby comparable (3,600sf+). Soft no-pressure follow-up ~26/06. Reopen AB-39-02 if owner softens.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22/06/2026</t>
        </is>
      </c>
      <c r="E5" s="11" t="s">
        <v>6</v>
      </c>
      <c r="F5" s="11" t="s">
        <v>32</v>
      </c>
      <c r="G5" s="11" t="inlineStr">
        <is>
          <t xml:space="preserve">✅ Booked — signed + deposit in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Booked: offer letter signed + deposit collected. SPA + OCBC loan in process.</t>
        </is>
      </c>
      <c r="J5" s="11" t="inlineStr">
        <is>
          <t xml:space="preserve">22/06 11am: meet Datuk — collect bank loan docs + fill OCBC loan application. Then SPA. Hold share RM56,225.</t>
        </is>
      </c>
      <c r="K5" s="11" t="inlineStr">
        <is>
          <t xml:space="preserve">22/06/2026 (Mon) 11am — collect loan docs + OCBC loan application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Property: Lot 58629, No. 21 Hartamas Heights land (6,500sf). Co-agent Caydence (co-broke 50/50).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08/07/2026</t>
        </is>
      </c>
      <c r="E7" s="17" t="s">
        <v>6</v>
      </c>
      <c r="F7" s="17" t="s">
        <v>32</v>
      </c>
      <c r="G7" s="17" t="inlineStr">
        <is>
          <t xml:space="preserve">Viewing arranged — Wed</t>
        </is>
      </c>
      <c r="H7" s="18" t="inlineStr">
        <is>
          <t xml:space="preserve">Viewing (Wed): 10am C-8-2 Hijauan Kiara; 10:30am Trinity Pentamont (RM1.75m Lvl2). Open balcony.</t>
        </is>
      </c>
      <c r="I7" s="34" t="inlineStr">
        <is>
          <t xml:space="preserve">Viewing arranged Wed 10am/10:30am — C-8-2 Hijauan Kiara + Trinity Pentamont.</t>
        </is>
      </c>
      <c r="J7" s="17" t="inlineStr">
        <is>
          <t xml:space="preserve">Attend Wed viewing; push offer on front-runner.</t>
        </is>
      </c>
      <c r="K7" s="35" t="inlineStr">
        <is>
          <t xml:space="preserve">08/07/2026 (Wed) 10am C-8-2 Hijauan Kiara; 10:30am Trinity Pentamont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08/07/2026</t>
        </is>
      </c>
      <c r="E8" s="17" t="s">
        <v>6</v>
      </c>
      <c r="F8" s="17" t="s">
        <v>32</v>
      </c>
      <c r="G8" s="17" t="inlineStr">
        <is>
          <t xml:space="preserve">Viewing arranged — Wed</t>
        </is>
      </c>
      <c r="H8" s="18" t="inlineStr">
        <is>
          <t xml:space="preserve">Viewing (Wed): 10am C-8-2 Hijauan Kiara; 10:30am Trinity Pentamont (RM1.75m Lvl2). Open balcony.</t>
        </is>
      </c>
      <c r="I8" s="34" t="inlineStr">
        <is>
          <t xml:space="preserve">Viewing arranged Wed 10am/10:30am — C-8-2 Hijauan Kiara + Trinity Pentamont.</t>
        </is>
      </c>
      <c r="J8" s="17" t="inlineStr">
        <is>
          <t xml:space="preserve">Attend Wed viewing; push offer on front-runner.</t>
        </is>
      </c>
      <c r="K8" s="35" t="inlineStr">
        <is>
          <t xml:space="preserve">08/07/2026 (Wed) 10am C-8-2 Hijauan Kiara; 10:30am Trinity Pentamont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inlineStr">
        <is>
          <t xml:space="preserve">31/07/2026</t>
        </is>
      </c>
      <c r="E9" s="17" t="s">
        <v>82</v>
      </c>
      <c r="F9" s="17" t="s">
        <v>32</v>
      </c>
      <c r="G9" s="17" t="inlineStr">
        <is>
          <t xml:space="preserve">Nurture — not ready</t>
        </is>
      </c>
      <c r="H9" s="18" t="s">
        <v>594</v>
      </c>
      <c r="I9" s="18"/>
      <c r="J9" s="17" t="inlineStr">
        <is>
          <t xml:space="preserve">Light nurture; re-engage when she's ready to buy.</t>
        </is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inlineStr">
        <is>
          <t xml:space="preserve">30/06/2026</t>
        </is>
      </c>
      <c r="E11" s="17" t="s">
        <v>6</v>
      </c>
      <c r="F11" s="17" t="s">
        <v>32</v>
      </c>
      <c r="G11" s="17" t="inlineStr">
        <is>
          <t xml:space="preserve">Tenant out — arranging viewings</t>
        </is>
      </c>
      <c r="H11" s="18" t="inlineStr">
        <is>
          <t xml:space="preserve">Astrea 30-06 re-let — 1,364sf @ RM6,000/mo. Kim Jungju checks out 30/06 9:30am.</t>
        </is>
      </c>
      <c r="I11" s="18" t="inlineStr">
        <is>
          <t xml:space="preserve">Kim Jungju checked out. Astrea 30-06 (1,364sf) re-letting @ RM6,000/mo — arranging prospect viewings.</t>
        </is>
      </c>
      <c r="J11" s="17" t="inlineStr">
        <is>
          <t xml:space="preserve">Arrange &amp; host prospect viewings; secure new tenant @ RM6,000/mo.</t>
        </is>
      </c>
      <c r="K11" s="17" t="inlineStr">
        <is>
          <t xml:space="preserve">Tenant checked out — unit available</t>
        </is>
      </c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✅ Closed — moved to Done Deals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inlineStr">
        <is>
          <t xml:space="preserve">✓</t>
        </is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 Aaron viewing B-29-01 07/07 (Tue) 2pm.</t>
        </is>
      </c>
      <c r="J16" s="17" t="inlineStr">
        <is>
          <t xml:space="preserve">Host Aaron viewing 07/07 2pm; close rental (RM9,500).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Proposed prospect — pending owner acceptance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Proposed a prospect tenant for Astrea 12-07; pending Ms Norain acceptance + viewing date confirmation.</t>
        </is>
      </c>
      <c r="J17" s="17" t="inlineStr">
        <is>
          <t xml:space="preserve">Await Ms Norain accept + confirm viewing date; then arrange showing.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Removed — not pursuing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✓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11/06/2026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Offer letter signed — deposit pending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✅ Offer letter SIGNED. Earnest deposit pending payment (in process).</t>
        </is>
      </c>
      <c r="J19" s="17" t="inlineStr">
        <is>
          <t xml:space="preserve">Collect earnest deposit; then handover.</t>
        </is>
      </c>
      <c r="K19" s="17" t="inlineStr">
        <is>
          <t xml:space="preserve">16/06/2026 (Tue) 11am — measurement w/ team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26/06/2026</t>
        </is>
      </c>
      <c r="E20" s="17" t="inlineStr">
        <is>
          <t xml:space="preserve">WhatsApp</t>
        </is>
      </c>
      <c r="F20" s="17" t="inlineStr">
        <is>
          <t xml:space="preserve">Hot 🔥</t>
        </is>
      </c>
      <c r="G20" s="17" t="inlineStr">
        <is>
          <t xml:space="preserve">Viewed Ooak — considering</t>
        </is>
      </c>
      <c r="H20" s="18" t="inlineStr">
        <is>
          <t xml:space="preserve">Tenant ~RM6k/mo. Showing Ooak Suites (Mon 22/06) — co-agent Cindy. (Viewed Astrea 20-01 earlier.)</t>
        </is>
      </c>
      <c r="I20" s="18" t="inlineStr">
        <is>
          <t xml:space="preserve">Viewed Ooak Suites 22/06; in consideration. (vs Astrea 20-01.)</t>
        </is>
      </c>
      <c r="J20" s="17" t="inlineStr">
        <is>
          <t xml:space="preserve">Follow up on decision; compare Ooak vs Astrea 20-01.</t>
        </is>
      </c>
      <c r="K20" s="17" t="inlineStr">
        <is>
          <t xml:space="preserve">22/06/2026 (Mon) 10am — Ooak Suites showing</t>
        </is>
      </c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 t="inlineStr">
        <is>
          <t xml:space="preserve">Prefers partly furnished (not fully furnished).</t>
        </is>
      </c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07/07/2026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Viewing arranged 07/07</t>
        </is>
      </c>
      <c r="H21" s="18" t="inlineStr">
        <is>
          <t xml:space="preserve">Viewing Allevia B-29-01 (Sharavana) — 07/07 (Tue) 2pm. RM9,500/mo.</t>
        </is>
      </c>
      <c r="I21" s="18" t="inlineStr">
        <is>
          <t xml:space="preserve">Viewing B-29-01 07/07 2pm.</t>
        </is>
      </c>
      <c r="J21" s="17" t="inlineStr">
        <is>
          <t xml:space="preserve">Attend viewing 07/07 2pm; close tenancy.</t>
        </is>
      </c>
      <c r="K21" s="17" t="inlineStr">
        <is>
          <t xml:space="preserve">07/07/2026 (Tue) 2pm — Allevia B-29-01</t>
        </is>
      </c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26/06/2026</t>
        </is>
      </c>
      <c r="E22" s="17" t="inlineStr">
        <is>
          <t xml:space="preserve">WhatsApp</t>
        </is>
      </c>
      <c r="F22" s="17" t="inlineStr">
        <is>
          <t xml:space="preserve">Hot 🔥</t>
        </is>
      </c>
      <c r="G22" s="17" t="inlineStr">
        <is>
          <t xml:space="preserve">Viewed 16/06 — awaiting response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Viewed Block B &amp; E (Plaza MK) 16/06; no response yet.</t>
        </is>
      </c>
      <c r="J22" s="17" t="inlineStr">
        <is>
          <t xml:space="preserve">Gentle follow-up on decision (Block B vs E).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22.5" customHeight="1">
      <c r="A23" s="17" t="inlineStr">
        <is>
          <t xml:space="preserve">L065</t>
        </is>
      </c>
      <c r="B23" s="18" t="inlineStr">
        <is>
          <t xml:space="preserve">Jackie's Client (Japanese)</t>
        </is>
      </c>
      <c r="C23" s="17" t="inlineStr">
        <is>
          <t xml:space="preserve">Japanese</t>
        </is>
      </c>
      <c r="D23" s="17" t="inlineStr">
        <is>
          <t xml:space="preserve">07/07/2026</t>
        </is>
      </c>
      <c r="E23" s="17" t="inlineStr">
        <is>
          <t xml:space="preserve">Co-agent Jackie</t>
        </is>
      </c>
      <c r="F23" s="17" t="inlineStr">
        <is>
          <t xml:space="preserve">Hot 🔥</t>
        </is>
      </c>
      <c r="G23" s="17" t="inlineStr">
        <is>
          <t xml:space="preserve">Viewed 06/07 — interested Kiaraville</t>
        </is>
      </c>
      <c r="H23" s="18" t="inlineStr">
        <is>
          <t xml:space="preserve">Viewing 06/07 (Mon): 21-06 Astrea RM1.45m &amp; B-6-1 Kiaraville RM1.47m. Budget RM1.5m.</t>
        </is>
      </c>
      <c r="I23" s="18" t="inlineStr">
        <is>
          <t xml:space="preserve">Viewed 06/07: quite interested in Kiaraville B-6-1 (RM1.47m). Astrea 21-06 less so.</t>
        </is>
      </c>
      <c r="J23" s="17" t="inlineStr">
        <is>
          <t xml:space="preserve">Follow up via co-agent Jackie; push offer on Kiaraville B-6-1. Confirm co-broke terms.</t>
        </is>
      </c>
      <c r="K23" s="17" t="inlineStr">
        <is>
          <t xml:space="preserve">06/07/2026 (Mon) — Astrea 21-06 &amp; Kiaraville B-6-1</t>
        </is>
      </c>
      <c r="L23" s="17"/>
      <c r="M23" s="17" t="inlineStr">
        <is>
          <t xml:space="preserve">Japanese / English</t>
        </is>
      </c>
      <c r="N23" s="17" t="inlineStr">
        <is>
          <t xml:space="preserve">☐</t>
        </is>
      </c>
      <c r="O23" s="17" t="inlineStr">
        <is>
          <t xml:space="preserve">Co-agent: Jackie.</t>
        </is>
      </c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Hts land — Lot 58629, No.21 (6,500sf)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✅ Offer Letter Signed + Deposit In — SPA next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inlineStr">
        <is>
          <t xml:space="preserve">Hijauan Kiara / Trinity Pentamont</t>
        </is>
      </c>
      <c r="E6" s="42" t="s">
        <v>56</v>
      </c>
      <c r="F6" s="42" t="s">
        <v>631</v>
      </c>
      <c r="G6" s="42" t="inlineStr">
        <is>
          <t xml:space="preserve">Viewing / Shortlisting</t>
        </is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inlineStr">
        <is>
          <t xml:space="preserve">German cash buyer (own stay then rent). Prefer Hijauan Kiara + Trinity Pentamont (RM1.75m Lvl 2, below mkt, iProperty — keen to view). Open balcony only.</t>
        </is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inlineStr">
        <is>
          <t xml:space="preserve">Searching — paused (not ready)</t>
        </is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4500000</v>
      </c>
      <c r="I8" s="51">
        <v>0.015</v>
      </c>
      <c r="J8" s="52">
        <f t="shared" si="1"/>
        <v>67500</v>
      </c>
      <c r="K8" s="8"/>
      <c r="L8" s="8"/>
      <c r="M8" s="8"/>
      <c r="N8" s="8"/>
      <c r="O8" s="9" t="inlineStr">
        <is>
          <t xml:space="preserve">Umesh MAX RM4.5m (opening RM4.3m), AB-39-02 MK 10. Owner floor RM4.7m. 3% comm CO-BROKE 50/50 -&gt; Spencer share 1.5% (RM67,500 @ RM4.5m). Loan buyer, 70% margin. May stretch if he loves it post-viewing. Booking form first (no payment), viewing after.</t>
        </is>
      </c>
    </row>
    <row r="9" ht="32.25" customHeight="1">
      <c r="A9" s="8" t="inlineStr">
        <is>
          <t xml:space="preserve">D008</t>
        </is>
      </c>
      <c r="B9" s="9" t="inlineStr">
        <is>
          <t xml:space="preserve">Nas (Kenangan Coffee)</t>
        </is>
      </c>
      <c r="C9" s="8" t="inlineStr">
        <is>
          <t xml:space="preserve">Malaysia</t>
        </is>
      </c>
      <c r="D9" s="9" t="inlineStr">
        <is>
          <t xml:space="preserve">KLTS Setapak 51-G-1 (Patrick Chow)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Offer letter signed — deposit pending</t>
        </is>
      </c>
      <c r="H9" s="50">
        <v>8500</v>
      </c>
      <c r="I9" s="51"/>
      <c r="J9" s="52">
        <v>8500</v>
      </c>
      <c r="K9" s="8"/>
      <c r="L9" s="8"/>
      <c r="M9" s="8"/>
      <c r="N9" s="8"/>
      <c r="O9" s="9" t="inlineStr">
        <is>
          <t xml:space="preserve">✅ CLOSED. Kenangan Coffee tenant for Patrick Chow KLTS Setapak 51-G-1. RM8,500(yr1)/RM9,000(yr2-3), 3+3yrs. Pending sign offer letter &amp; collect earnest deposit. Comm = 1 mth rent.</t>
        </is>
      </c>
    </row>
    <row r="10" ht="32.25" customHeight="1">
      <c r="A10" s="8" t="inlineStr">
        <is>
          <t xml:space="preserve">D009</t>
        </is>
      </c>
      <c r="B10" s="9" t="inlineStr">
        <is>
          <t xml:space="preserve">Stephanie</t>
        </is>
      </c>
      <c r="C10" s="8" t="inlineStr">
        <is>
          <t xml:space="preserve">Malaysia</t>
        </is>
      </c>
      <c r="D10" s="9" t="inlineStr">
        <is>
          <t xml:space="preserve">Astrea Mont Kiara (20-01 viewed)</t>
        </is>
      </c>
      <c r="E10" s="8" t="inlineStr">
        <is>
          <t xml:space="preserve">Mont Kiara</t>
        </is>
      </c>
      <c r="F10" s="8" t="inlineStr">
        <is>
          <t xml:space="preserve">Rental</t>
        </is>
      </c>
      <c r="G10" s="8" t="inlineStr">
        <is>
          <t xml:space="preserve">Viewing — Gauging Interest</t>
        </is>
      </c>
      <c r="H10" s="50">
        <v>6000</v>
      </c>
      <c r="I10" s="51"/>
      <c r="J10" s="52">
        <v>6000</v>
      </c>
      <c r="K10" s="8"/>
      <c r="L10" s="8"/>
      <c r="M10" s="8"/>
      <c r="N10" s="8"/>
      <c r="O10" s="9" t="inlineStr">
        <is>
          <t xml:space="preserve">Viewed Astrea 20-01 (1,828sf 3BR). Budget RM6k/mo. Comm = 1 mth rent.</t>
        </is>
      </c>
    </row>
    <row r="11" ht="32.25" customHeight="1">
      <c r="A11" s="8" t="inlineStr">
        <is>
          <t xml:space="preserve">D010</t>
        </is>
      </c>
      <c r="B11" s="9" t="inlineStr">
        <is>
          <t xml:space="preserve">Aaron</t>
        </is>
      </c>
      <c r="C11" s="8" t="inlineStr">
        <is>
          <t xml:space="preserve">Malaysia</t>
        </is>
      </c>
      <c r="D11" s="9" t="inlineStr">
        <is>
          <t xml:space="preserve">Allevia B-29-01 (3BR) — Sharavana unit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Viewing arranging</t>
        </is>
      </c>
      <c r="H11" s="50">
        <v>9500</v>
      </c>
      <c r="I11" s="51"/>
      <c r="J11" s="52">
        <v>9500</v>
      </c>
      <c r="K11" s="8"/>
      <c r="L11" s="8"/>
      <c r="M11" s="8"/>
      <c r="N11" s="8"/>
      <c r="O11" s="9" t="inlineStr">
        <is>
          <t xml:space="preserve">Matched to Sharavana's B-29-01 @ RM9,500/mo; arranging viewing. Aaron also owns A-29-02 (own stay, not listing). Comm = 1 mth rent.</t>
        </is>
      </c>
    </row>
    <row r="12" ht="32.25" customHeight="1">
      <c r="A12" s="8" t="inlineStr">
        <is>
          <t xml:space="preserve">D011</t>
        </is>
      </c>
      <c r="B12" s="9" t="inlineStr">
        <is>
          <t xml:space="preserve">Eleena</t>
        </is>
      </c>
      <c r="C12" s="8" t="inlineStr">
        <is>
          <t xml:space="preserve">Malaysia</t>
        </is>
      </c>
      <c r="D12" s="9" t="inlineStr">
        <is>
          <t xml:space="preserve">Plaza Mont Kiara Tower A (1 office lot)</t>
        </is>
      </c>
      <c r="E12" s="8" t="inlineStr">
        <is>
          <t xml:space="preserve">Mont Kiara</t>
        </is>
      </c>
      <c r="F12" s="8" t="inlineStr">
        <is>
          <t xml:space="preserve">Rental</t>
        </is>
      </c>
      <c r="G12" s="8" t="inlineStr">
        <is>
          <t xml:space="preserve">Viewing arranged 16/06</t>
        </is>
      </c>
      <c r="H12" s="50">
        <v>2750</v>
      </c>
      <c r="I12" s="51"/>
      <c r="J12" s="52">
        <v>2750</v>
      </c>
      <c r="K12" s="8"/>
      <c r="L12" s="8"/>
      <c r="M12" s="8"/>
      <c r="N12" s="8"/>
      <c r="O12" s="9" t="inlineStr">
        <is>
          <t xml:space="preserve">Law firm — 1 office lot Plaza MK. Viewing 16/06: Block B 750sf RM3k / Block E 800sf RM2.8k. 2yr, move-in Jul/Aug. Comm = 1 mth rent.</t>
        </is>
      </c>
    </row>
    <row r="13" ht="32.25" customHeight="1">
      <c r="A13" s="8" t="inlineStr">
        <is>
          <t xml:space="preserve">D012</t>
        </is>
      </c>
      <c r="B13" s="9" t="inlineStr">
        <is>
          <t xml:space="preserve">Datuk Francis (seller)</t>
        </is>
      </c>
      <c r="C13" s="8" t="inlineStr">
        <is>
          <t xml:space="preserve">Malaysia</t>
        </is>
      </c>
      <c r="D13" s="9" t="inlineStr">
        <is>
          <t xml:space="preserve">Mulberi 13A-02 (Datuk) — SOLD</t>
        </is>
      </c>
      <c r="E13" s="8"/>
      <c r="F13" s="8" t="inlineStr">
        <is>
          <t xml:space="preserve">Sale</t>
        </is>
      </c>
      <c r="G13" s="8" t="inlineStr">
        <is>
          <t xml:space="preserve">✅ SOLD RM420k</t>
        </is>
      </c>
      <c r="H13" s="50">
        <v>420000</v>
      </c>
      <c r="I13" s="51">
        <v>0.015</v>
      </c>
      <c r="J13" s="52">
        <v>6300</v>
      </c>
      <c r="K13" s="8"/>
      <c r="L13" s="8"/>
      <c r="M13" s="8"/>
      <c r="N13" s="8"/>
      <c r="O13" s="9" t="inlineStr">
        <is>
          <t xml:space="preserve">✅ SOLD: Datuk's 13A-02 Mulberi @ RM420,000. Co-broke 50/50 w/ Caydence; Spencer share 1.5% = RM6,300. 13A-03A still listed @ RM420k.</t>
        </is>
      </c>
    </row>
    <row r="14" ht="32.25" customHeight="1">
      <c r="A14" s="8" t="inlineStr">
        <is>
          <t xml:space="preserve">D013</t>
        </is>
      </c>
      <c r="B14" s="9" t="inlineStr">
        <is>
          <t xml:space="preserve">Jackie's Client (Japanese)</t>
        </is>
      </c>
      <c r="C14" s="8" t="inlineStr">
        <is>
          <t xml:space="preserve">Japanese</t>
        </is>
      </c>
      <c r="D14" s="9" t="inlineStr">
        <is>
          <t xml:space="preserve">Kiaraville B-6-1</t>
        </is>
      </c>
      <c r="E14" s="8" t="inlineStr">
        <is>
          <t xml:space="preserve">Mont Kiara</t>
        </is>
      </c>
      <c r="F14" s="8" t="inlineStr">
        <is>
          <t xml:space="preserve">Sale</t>
        </is>
      </c>
      <c r="G14" s="8" t="inlineStr">
        <is>
          <t xml:space="preserve">Interested — push offer</t>
        </is>
      </c>
      <c r="H14" s="50">
        <v>1470000</v>
      </c>
      <c r="I14" s="51">
        <v>0.015</v>
      </c>
      <c r="J14" s="52">
        <v>22050</v>
      </c>
      <c r="K14" s="8"/>
      <c r="L14" s="8"/>
      <c r="M14" s="8"/>
      <c r="N14" s="8"/>
      <c r="O14" s="9" t="inlineStr">
        <is>
          <t xml:space="preserve">Japanese buyer via co-agent Jackie; interested Kiaraville B-6-1 (RM1.47m). 3% comm co-broke 50/50 -&gt; Spencer share 1.5% = RM22,050.</t>
        </is>
      </c>
    </row>
    <row r="15">
      <c r="A15" s="53" t="inlineStr">
        <is>
          <t xml:space="preserve">TOTAL ESTIMATED COMMISSION (if all close)</t>
        </is>
      </c>
      <c r="B15" s="54"/>
      <c r="C15" s="54"/>
      <c r="D15" s="54"/>
      <c r="E15" s="54"/>
      <c r="F15" s="54"/>
      <c r="G15" s="54"/>
      <c r="H15" s="54"/>
      <c r="I15" s="55"/>
      <c r="J15" s="56">
        <f>SUM(J4:J14)</f>
        <v>294825</v>
      </c>
      <c r="K15" s="57"/>
      <c r="L15" s="57"/>
      <c r="M15" s="57"/>
      <c r="N15" s="57"/>
      <c r="O15" s="57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5:I15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13</t>
        </is>
      </c>
      <c r="E5" s="55"/>
      <c r="F5" s="25"/>
      <c r="G5" s="61" t="inlineStr">
        <is>
          <t>53</t>
        </is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295k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11 active deals · 7 sale + 4 rent</t>
        </is>
      </c>
      <c r="E10" s="55"/>
      <c r="F10" s="25"/>
      <c r="G10" s="62" t="inlineStr">
        <is>
          <t xml:space="preserve">if all 11 close (incl 4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