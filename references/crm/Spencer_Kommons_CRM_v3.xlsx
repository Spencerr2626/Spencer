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<sst xmlns="http://schemas.openxmlformats.org/spreadsheetml/2006/main" count="1559" uniqueCount="720">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</sst>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inlineStr">
        <is>
          <t xml:space="preserve">ENDED — commission returned to Patrick; no longer serving</t>
        </is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inlineStr">
        <is>
          <t xml:space="preserve">Cotti Coffee (Dr Lee) breached &amp; terminated tenancy. New tenant Nas/Kenangan secured &amp; signed. There WAS a signed commission letter, but Patrick still insisted Spencer return the commission. Spencer returned RM8,500 in full as a clean break and ENDED the relationship — no longer serving Patrick.</t>
        </is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3% earnest PAID; pending draft SPA</t>
        </is>
      </c>
      <c r="K8" s="17" t="inlineStr">
        <is>
          <t xml:space="preserve">Hot 🔥</t>
        </is>
      </c>
      <c r="L8" s="18" t="inlineStr">
        <is>
          <t xml:space="preserve">Mont Kiara</t>
        </is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Astrea Mont Kiara</t>
        </is>
      </c>
      <c r="R8" s="18"/>
      <c r="S8" s="17"/>
      <c r="T8" s="17" t="inlineStr">
        <is>
          <t xml:space="preserve">28/07/2026</t>
        </is>
      </c>
      <c r="U8" s="18" t="inlineStr">
        <is>
          <t xml:space="preserve">China cash buyer. BUYING Astrea Mont Kiara 30-06 (1,364sf, Zoey Lim's unit L031). OFFER LETTER SIGNED; pending 3% earnest deposit from buyer. Negotiated 1.30m vs floor 1.35m — CONFIRM final agreed price. COMM: 2% professional fee + 8% SST (Spencer's own listing + buyer). At 1.35m fee = RM27,000.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inlineStr">
        <is>
          <t xml:space="preserve">SPA drafted &amp; sent to vendor's lawyer; pending amendments</t>
        </is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46225</v>
      </c>
      <c r="T10" s="20">
        <v>46233</v>
      </c>
      <c r="U10" s="12" t="inlineStr">
        <is>
          <t xml:space="preserve">Indian purchaser (loan 70%), AB-39-02 MK 10 (3,668sf). ATP SIGNED 12/07/2026 at RM4,690,000. 3% earnest RM140,700 to Brickworks Realty Sdn Bhd (Maybank, as stakeholder). SPA within 21 working days. Purchased SUBJECT TO existing tenancy (Wan Jia Supermarket, RM18k/mo, to 30/04/2027). Vendor terminates tenancy AFTER completion, so VP ~Mar-Apr 2027 (near expiry); Umesh collects rent from completion until VP. Est completion Dec 2026-Jan 2027. Foreign consent ~2-4 wks; direct title transfer from developer (developer consent needed); vendor bank discharge risk (Brickworks distressed). Deal via Nick Lu (Jin back-channel). Owner: Captain Mohan / S. Mohan.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L064</t>
        </is>
      </c>
      <c r="B12" s="74" t="inlineStr">
        <is>
          <t xml:space="preserve">Eleena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+60179554304</t>
        </is>
      </c>
      <c r="F12" s="74"/>
      <c r="G12" s="74" t="inlineStr">
        <is>
          <t xml:space="preserve">WhatsApp</t>
        </is>
      </c>
      <c r="H12" s="74" t="inlineStr">
        <is>
          <t xml:space="preserve">iProperty</t>
        </is>
      </c>
      <c r="I12" s="74" t="inlineStr">
        <is>
          <t xml:space="preserve">Tenant</t>
        </is>
      </c>
      <c r="J12" s="74" t="inlineStr">
        <is>
          <t xml:space="preserve">KIV — decide Jan 2027</t>
        </is>
      </c>
      <c r="K12" s="73" t="inlineStr">
        <is>
          <t xml:space="preserve">Cold ❄️</t>
        </is>
      </c>
      <c r="L12" s="74" t="inlineStr">
        <is>
          <t xml:space="preserve">Mont Kiara</t>
        </is>
      </c>
      <c r="M12" s="73" t="inlineStr">
        <is>
          <t xml:space="preserve">2,500–3,000 /mo</t>
        </is>
      </c>
      <c r="N12" s="73" t="inlineStr">
        <is>
          <t xml:space="preserve">500–800 sqft</t>
        </is>
      </c>
      <c r="O12" s="73"/>
      <c r="P12" s="74" t="inlineStr">
        <is>
          <t xml:space="preserve">Office lot</t>
        </is>
      </c>
      <c r="Q12" s="75" t="inlineStr">
        <is>
          <t xml:space="preserve">Plaza Mont Kiara</t>
        </is>
      </c>
      <c r="R12" s="75" t="inlineStr">
        <is>
          <t xml:space="preserve">Tower A</t>
        </is>
      </c>
      <c r="S12" s="76"/>
      <c r="T12" s="76" t="inlineStr">
        <is>
          <t xml:space="preserve">15/12/2026</t>
        </is>
      </c>
      <c r="U12" s="75" t="inlineStr">
        <is>
          <t xml:space="preserve">Local Malay law firm — 1 office lot Plaza MK Tower A, RM2.5-3k/mo. Viewed Block B/E 16/06. KIV — will only decide Jan 2027.</t>
        </is>
      </c>
      <c r="V12" s="75" t="inlineStr">
        <is>
          <t xml:space="preserve">Office Tenant / Law Firm</t>
        </is>
      </c>
    </row>
    <row r="13" ht="22.5" customHeight="1">
      <c r="A13" s="73" t="inlineStr">
        <is>
          <t xml:space="preserve">L065</t>
        </is>
      </c>
      <c r="B13" s="74" t="inlineStr">
        <is>
          <t xml:space="preserve">Jackie's Client (Japanese)</t>
        </is>
      </c>
      <c r="C13" s="74" t="inlineStr">
        <is>
          <t xml:space="preserve">Japanese</t>
        </is>
      </c>
      <c r="D13" s="73" t="inlineStr">
        <is>
          <t xml:space="preserve">Japanese / English</t>
        </is>
      </c>
      <c r="E13" s="74"/>
      <c r="F13" s="74"/>
      <c r="G13" s="74" t="inlineStr">
        <is>
          <t xml:space="preserve">Co-agent Jackie</t>
        </is>
      </c>
      <c r="H13" s="74" t="inlineStr">
        <is>
          <t xml:space="preserve">Co-broke — Jackie</t>
        </is>
      </c>
      <c r="I13" s="74" t="inlineStr">
        <is>
          <t xml:space="preserve">Purchaser</t>
        </is>
      </c>
      <c r="J13" s="74" t="inlineStr">
        <is>
          <t xml:space="preserve">Not involved — Jackie's client bought Westside 3 DPC via Jackie; no comm to Spencer</t>
        </is>
      </c>
      <c r="K13" s="73" t="inlineStr">
        <is>
          <t xml:space="preserve">Hot 🔥</t>
        </is>
      </c>
      <c r="L13" s="74" t="inlineStr">
        <is>
          <t xml:space="preserve">Desa Park City</t>
        </is>
      </c>
      <c r="M13" s="73" t="inlineStr">
        <is>
          <t xml:space="preserve">1,500,000</t>
        </is>
      </c>
      <c r="N13" s="73"/>
      <c r="O13" s="73"/>
      <c r="P13" s="74" t="inlineStr">
        <is>
          <t xml:space="preserve">Condo</t>
        </is>
      </c>
      <c r="Q13" s="75" t="inlineStr">
        <is>
          <t xml:space="preserve">Westside 3 Desa Park City</t>
        </is>
      </c>
      <c r="R13" s="75"/>
      <c r="S13" s="76"/>
      <c r="T13" s="76" t="inlineStr">
        <is>
          <t xml:space="preserve">24/07/2026</t>
        </is>
      </c>
      <c r="U13" s="75" t="inlineStr">
        <is>
          <t xml:space="preserve">Japanese buyer via co-agent Jackie. Bought Westside 3 Desa Park City through Jackie. Spencer NOT involved in that deal, no commission. Lead closed.</t>
        </is>
      </c>
      <c r="V13" s="75" t="inlineStr">
        <is>
          <t xml:space="preserve">Purchaser / Co-broke</t>
        </is>
      </c>
    </row>
    <row r="14" ht="22.5" customHeight="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 ht="22.5" customHeight="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inlineStr">
        <is>
          <t xml:space="preserve">Vacating 31/07 — check-out appointment set (rented new unit w/ another agent)</t>
        </is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inlineStr">
        <is>
          <t xml:space="preserve">Rented another unit at RM 11,500 with another agent, 01/08/2026 - 31/07/2028. Check-out appointment 31/07/2026 (vacating Duta Nusantara 72).</t>
        </is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inlineStr">
        <is>
          <t xml:space="preserve">Rented — unit issues resolved</t>
        </is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Astrea 09-3A tenant (lease to 01/03/2027). Water heater + unit issues FIXED/resolved 22/07. Staying till tenancy end.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SELLING to 马太太 — offer letter SIGNED, pending earnest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Astrea 30-06 (1,364sf). Tenant Kim Jungju out 30/06. NOW being SOLD to 马太太 (L056): offer RM1.30m vs floor RM1.35m. Spencer own listing + buyer = 2% fee + 8% SST (RM27,000 at 1.35m).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SPA SIGNED &amp; STAMPED; pending Eric's credit officer (OCBC loan)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1" t="inlineStr">
        <is>
          <t xml:space="preserve">L061</t>
        </is>
      </c>
      <c r="B58" s="22" t="inlineStr">
        <is>
          <t xml:space="preserve">Nas (Kenangan Coffee)</t>
        </is>
      </c>
      <c r="C58" s="22" t="inlineStr">
        <is>
          <t xml:space="preserve">Malaysian</t>
        </is>
      </c>
      <c r="D58" s="21" t="inlineStr">
        <is>
          <t xml:space="preserve">Malay, English</t>
        </is>
      </c>
      <c r="E58" s="22" t="inlineStr">
        <is>
          <t xml:space="preserve">+60194707037</t>
        </is>
      </c>
      <c r="F58" s="22"/>
      <c r="G58" s="22" t="inlineStr">
        <is>
          <t xml:space="preserve">WhatsApp</t>
        </is>
      </c>
      <c r="H58" s="22" t="inlineStr">
        <is>
          <t xml:space="preserve">iProperty — KLTS Setapak 51-G-1 (Patrick Chow)</t>
        </is>
      </c>
      <c r="I58" s="22" t="inlineStr">
        <is>
          <t xml:space="preserve">Tenant</t>
        </is>
      </c>
      <c r="J58" s="22" t="inlineStr">
        <is>
          <t xml:space="preserve">Tenancy signed; COMMISSION RETURNED to Patrick (Spencer RM0)</t>
        </is>
      </c>
      <c r="K58" s="21"/>
      <c r="L58" s="22" t="inlineStr">
        <is>
          <t xml:space="preserve">Setapak</t>
        </is>
      </c>
      <c r="M58" s="21" t="inlineStr">
        <is>
          <t xml:space="preserve">8,500–9,000 /mo</t>
        </is>
      </c>
      <c r="N58" s="21"/>
      <c r="O58" s="22" t="inlineStr">
        <is>
          <t xml:space="preserve">Commercial Shoplot</t>
        </is>
      </c>
      <c r="P58" s="22" t="inlineStr">
        <is>
          <t xml:space="preserve">KLTS Setapak 51-G-1 (Patrick Chow)</t>
        </is>
      </c>
      <c r="Q58" s="22" t="inlineStr">
        <is>
          <t xml:space="preserve">51-G-1</t>
        </is>
      </c>
      <c r="R58" s="21"/>
      <c r="S58" s="21"/>
      <c r="T58" s="21" t="inlineStr">
        <is>
          <t xml:space="preserve">22/07/2026</t>
        </is>
      </c>
      <c r="U58" s="21"/>
      <c r="V58" s="22" t="inlineStr">
        <is>
          <t xml:space="preserve">Kenangan Coffee (F&amp;B) tenant for Patrick Chow's KLTS Setapak 51-G-1 @ RM8,500(yr1)/RM9,000(yr2-3), 3+3yrs. Tenancy DONE + deposit collected 22/07. Spencer FULLY RETURNED the RM8,500 commission to Patrick and will no longer serve Patrick.</t>
        </is>
      </c>
      <c r="W58" s="22"/>
      <c r="X58" s="22" t="inlineStr">
        <is>
          <t xml:space="preserve">Tenant / Commercial (Done)</t>
        </is>
      </c>
    </row>
    <row r="59" ht="15.75" customHeight="1">
      <c r="A59" s="21" t="inlineStr">
        <is>
          <t xml:space="preserve">L063</t>
        </is>
      </c>
      <c r="B59" s="22" t="inlineStr">
        <is>
          <t xml:space="preserve">Aaron</t>
        </is>
      </c>
      <c r="C59" s="22" t="inlineStr">
        <is>
          <t xml:space="preserve">Malaysian</t>
        </is>
      </c>
      <c r="D59" s="21" t="inlineStr">
        <is>
          <t xml:space="preserve">English</t>
        </is>
      </c>
      <c r="E59" s="22" t="inlineStr">
        <is>
          <t xml:space="preserve">+60122354261</t>
        </is>
      </c>
      <c r="F59" s="22"/>
      <c r="G59" s="22" t="inlineStr">
        <is>
          <t xml:space="preserve">WhatsApp</t>
        </is>
      </c>
      <c r="H59" s="22" t="inlineStr">
        <is>
          <t xml:space="preserve">iProperty</t>
        </is>
      </c>
      <c r="I59" s="22" t="inlineStr">
        <is>
          <t xml:space="preserve">Tenant (owns Allevia A-29-02)</t>
        </is>
      </c>
      <c r="J59" s="22" t="inlineStr">
        <is>
          <t xml:space="preserve">✅ Rented Allevia A-15-03 @ RM9,000/mo (co-broke Nigel; Spencer share RM5,625)</t>
        </is>
      </c>
      <c r="K59" s="21"/>
      <c r="L59" s="22" t="inlineStr">
        <is>
          <t xml:space="preserve">Mont Kiara</t>
        </is>
      </c>
      <c r="M59" s="21" t="inlineStr">
        <is>
          <t xml:space="preserve">9,000 /mo</t>
        </is>
      </c>
      <c r="N59" s="21"/>
      <c r="O59" s="22" t="inlineStr">
        <is>
          <t xml:space="preserve">Condominium</t>
        </is>
      </c>
      <c r="P59" s="22" t="inlineStr">
        <is>
          <t xml:space="preserve">Allevia</t>
        </is>
      </c>
      <c r="Q59" s="22" t="inlineStr">
        <is>
          <t xml:space="preserve">A-15-03</t>
        </is>
      </c>
      <c r="R59" s="21"/>
      <c r="S59" s="21"/>
      <c r="T59" s="21" t="inlineStr">
        <is>
          <t xml:space="preserve">28/07/2026</t>
        </is>
      </c>
      <c r="U59" s="21"/>
      <c r="V59" s="22" t="inlineStr">
        <is>
          <t xml:space="preserve">Tenant (also owns Allevia A-29-02). Rented Allevia A-15-03 @ RM9,000/mo. Booking fee collected 28/07. Comm 1.25 month = RM11,250, co-broke 50/50 with Nigel; Spencer share RM5,625. TA UNDER NEGOTIATION (reno Clause 5.0): landlord Arnaud/Licia (Uberlegen Sdn Bhd tenant) proposed amendments — agreed pts 1-5; point 6 = agreed upgrades STAY (no reinstatement), tenant repairs any damage (e.g. wall holes), reinstatement decided upfront at approval. Reno budget RM30-50k (lighting/fans/paint/ceiling), landlord's preferred contractor. Awaiting revised TA.</t>
        </is>
      </c>
      <c r="W59" s="22"/>
      <c r="X59" s="22" t="inlineStr">
        <is>
          <t xml:space="preserve">Tenant / Nurture</t>
        </is>
      </c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11/07/2026</t>
        </is>
      </c>
      <c r="E4" s="17" t="s">
        <v>6</v>
      </c>
      <c r="F4" s="17" t="s">
        <v>32</v>
      </c>
      <c r="G4" s="17" t="inlineStr">
        <is>
          <t xml:space="preserve">Offer RM4.4m placed — awaiting Nick Lu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Offer RM4.4m placed on AB-39-02 (MK 10), condition: earliest vacant possession (unit tenanted @ RM18k/mo until Apr 2027). Awaiting co-agent Nick Lu (owner side).</t>
        </is>
      </c>
      <c r="J4" s="17" t="inlineStr">
        <is>
          <t xml:space="preserve">Await Nick Lu reply on RM4.4m + earliest VP; negotiate. Comm 3% co-broke 50/50 (share 1.5%).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28/07/2026</t>
        </is>
      </c>
      <c r="E5" s="11" t="s">
        <v>6</v>
      </c>
      <c r="F5" s="11" t="s">
        <v>32</v>
      </c>
      <c r="G5" s="11" t="inlineStr">
        <is>
          <t xml:space="preserve">SPA signed &amp; STAMPED — pending OCBC loan approval (Eric)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Eric (OCBC) for loan approval revert; then completion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24/07/2026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Offer RM1.30m Astrea 30-06 (Zoey unit); floor RM1.35m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Close ~5万 gap; push 马太太 to RM1.35m; prep 意向合同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inlineStr">
        <is>
          <t xml:space="preserve">Done</t>
        </is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24/07/2026</t>
        </is>
      </c>
      <c r="E11" s="17" t="s">
        <v>6</v>
      </c>
      <c r="F11" s="17" t="s">
        <v>32</v>
      </c>
      <c r="G11" s="17" t="inlineStr">
        <is>
          <t xml:space="preserve">SELLING to 马太太 — offer 1.30m vs floor 1.35m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Bridge to RM1.35m; convert rental listing to sale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Water heater FIXED — resolved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Resolved; monitor till tenancy end</t>
        </is>
      </c>
      <c r="K13" s="17"/>
      <c r="L13" s="17" t="s">
        <v>593</v>
      </c>
      <c r="M13" s="17" t="s">
        <v>51</v>
      </c>
      <c r="N13" s="17" t="inlineStr">
        <is>
          <t xml:space="preserve">Done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✅ DONE — Kenangan tenancy signed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Done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Done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Closed — Spencer not involved (Jackie's deal)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Done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inlineStr">
        <is>
          <t xml:space="preserve">Astrea Mont Kiara 30-06 (Zoey's unit)</t>
        </is>
      </c>
      <c r="E7" s="14" t="s">
        <v>56</v>
      </c>
      <c r="F7" s="14" t="s">
        <v>631</v>
      </c>
      <c r="G7" s="14" t="inlineStr">
        <is>
          <t xml:space="preserve">Earnest PAID (3%); pending draft SPA</t>
        </is>
      </c>
      <c r="H7" s="47">
        <v>1350000</v>
      </c>
      <c r="I7" s="48">
        <v>0.02</v>
      </c>
      <c r="J7" s="49">
        <f>H7*I7</f>
        <v>27000</v>
      </c>
      <c r="K7" s="14"/>
      <c r="L7" s="14"/>
      <c r="M7" s="14"/>
      <c r="N7" s="14"/>
      <c r="O7" s="15" t="inlineStr">
        <is>
          <t xml:space="preserve">马太太 buying Astrea 30-06 (Zoey Lim's unit L031, 1,364sf). Offer letter SIGNED 23/07; pending 3% earnest. Agreed RM1.35m. Spencer own listing + buyer = 2% fee = RM27,000 (+8% SST). China cash buyer.</t>
        </is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inlineStr">
        <is>
          <t xml:space="preserve">SPA drafted, sent to vendor lawyer; pending amendments</t>
        </is>
      </c>
      <c r="H8" s="50">
        <v>4690000</v>
      </c>
      <c r="I8" s="51">
        <v>0.01</v>
      </c>
      <c r="J8" s="52">
        <f t="shared" si="1"/>
        <v>46900</v>
      </c>
      <c r="K8" s="8"/>
      <c r="L8" s="8"/>
      <c r="M8" s="8"/>
      <c r="N8" s="8"/>
      <c r="O8" s="9" t="inlineStr">
        <is>
          <t xml:space="preserve">Umesh AB-39-02 MK 10 (3,668sf). ATP SIGNED 12/07/2026 at RM4,690,000 (down from 5m ask; owner Captain Mohan/Brickworks Realty). 3% earnest RM140,700 to Brickworks Realty (Maybank, stakeholder); balance 7% on SPA, 90% within 90 days. Subject to existing tenancy to 30/04/2027 (RM18k/mo); vendor terminates after completion, VP ~Mar-Apr 2027; Umesh collects rent from completion. Completion ~Dec 2026-Jan 2027. Foreign consent ~2-4 wks; direct transfer from developer; vendor bank discharge risk (distressed co). 2% co-broke 50/50 incl 8% SST, Spencer share 1% = RM46,900. Loan 70%.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✅ DONE — commission RETURNED to Patrick (RM0)</t>
        </is>
      </c>
      <c r="H9" s="50">
        <v>8500</v>
      </c>
      <c r="I9" s="51"/>
      <c r="J9" s="52">
        <v>0</v>
      </c>
      <c r="K9" s="8"/>
      <c r="L9" s="8"/>
      <c r="M9" s="8"/>
      <c r="N9" s="8"/>
      <c r="O9" s="9" t="inlineStr">
        <is>
          <t xml:space="preserve">✅ DONE. Kenangan Coffee tenant for Patrick Chow KLTS Setapak 51-G-1. RM8,500(yr1)/RM9,000(yr2-3), 3+3yrs. Offer letter signed + deposit collected. Comm = 1 mth rent = RM8,500.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✅ DONE — rental RM9,000/mo, booking fee in, co-broke Nigel</t>
        </is>
      </c>
      <c r="H10" s="50">
        <v>9000</v>
      </c>
      <c r="I10" s="51"/>
      <c r="J10" s="52">
        <v>5625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292825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 xml:space="preserve">10</t>
        </is>
      </c>
      <c r="E5" s="55"/>
      <c r="F5" s="25"/>
      <c r="G5" s="61" t="inlineStr">
        <is>
          <t xml:space="preserve">55</t>
        </is>
      </c>
      <c r="H5" s="55"/>
      <c r="I5" s="25"/>
      <c r="J5" s="61" t="inlineStr">
        <is>
          <t xml:space="preserve">RM 21,625</t>
        </is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15.9mil</t>
        </is>
      </c>
      <c r="E9" s="55"/>
      <c r="F9" s="25"/>
      <c r="G9" s="61" t="inlineStr">
        <is>
          <t xml:space="preserve">RM 221k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