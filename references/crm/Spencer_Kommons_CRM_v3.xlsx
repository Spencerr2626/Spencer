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<sst xmlns="http://schemas.openxmlformats.org/spreadsheetml/2006/main" count="1559" uniqueCount="720">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</sst>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Active — interested Allevia</t>
        </is>
      </c>
      <c r="K8" s="17" t="inlineStr">
        <is>
          <t xml:space="preserve">Hot 🔥</t>
        </is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Allevia</t>
        </is>
      </c>
      <c r="R8" s="18"/>
      <c r="S8" s="17"/>
      <c r="T8" s="17" t="inlineStr">
        <is>
          <t xml:space="preserve">15/07/2026</t>
        </is>
      </c>
      <c r="U8" s="18" t="inlineStr">
        <is>
          <t xml:space="preserve">China cash buyer ~RM2m. Interested in Allevia 1,757sf (A-08-01) &amp; 1,971sf. Travelling to KL week of 16/07; viewing 17 or 18/07 (units not confirmed yet). Sharavana B-29-01 (1,971sf @ RM2.3m) = possible match for the 1,971sf.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Offer RM4.55m final, via Jin (owner floor 4.7m)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46214</v>
      </c>
      <c r="T10" s="20">
        <v>46216</v>
      </c>
      <c r="U10" s="12" t="inlineStr">
        <is>
          <t xml:space="preserve">Indian purchaser (loan 70%), AB-39-02 MK 10 (3,668sf), tenanted RM18k/mo till Apr 2027. Negotiation trail: RM4.2m, then RM4.4m, then RM4.5m, final stretch RM4.55m (his ceiling). Owner floor RM4.7m, not desperate (investment-firm holding); Nick Lu declined RM4.55m. VP solved: 3-month notice clause once offer accepted. 11/07 channel switched from Nick Lu to colleague Jin Ooi (prior owner rapport, open listing). Awaiting owner response via Jin.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L063</t>
        </is>
      </c>
      <c r="B13" s="74" t="inlineStr">
        <is>
          <t xml:space="preserve">Aaron</t>
        </is>
      </c>
      <c r="C13" s="74" t="inlineStr">
        <is>
          <t xml:space="preserve">Malaysian</t>
        </is>
      </c>
      <c r="D13" s="73" t="inlineStr">
        <is>
          <t xml:space="preserve">English</t>
        </is>
      </c>
      <c r="E13" s="74" t="inlineStr">
        <is>
          <t xml:space="preserve">+60122354261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 (also owner A-29-02 Allevia)</t>
        </is>
      </c>
      <c r="J13" s="74" t="inlineStr">
        <is>
          <t xml:space="preserve">Viewing Pavilion DH 10/07 (RM15-22k)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15,000-22,000 /mo</t>
        </is>
      </c>
      <c r="N13" s="73"/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Allevia</t>
        </is>
      </c>
      <c r="R13" s="75" t="inlineStr">
        <is>
          <t xml:space="preserve">owns A-29-02</t>
        </is>
      </c>
      <c r="S13" s="76"/>
      <c r="T13" s="76" t="inlineStr">
        <is>
          <t xml:space="preserve">10/07/2026</t>
        </is>
      </c>
      <c r="U13" s="75" t="inlineStr">
        <is>
          <t xml:space="preserve">Tenant. Viewing Pavilion Damansara Heights 10/07 2pm (1,878sf RM15k / 2,303sf RM15k / 2,803sf RM22k, all PF). Budget flexed up. Allevia B-29-01 not proceeded. Owns Allevia A-29-02 (own stay).</t>
        </is>
      </c>
      <c r="V13" s="75" t="inlineStr">
        <is>
          <t xml:space="preserve">Local Chinese Tenant / Owner</t>
        </is>
      </c>
    </row>
    <row r="14" ht="22.5" customHeight="1">
      <c r="A14" s="73" t="inlineStr">
        <is>
          <t xml:space="preserve">L064</t>
        </is>
      </c>
      <c r="B14" s="74" t="inlineStr">
        <is>
          <t xml:space="preserve">Eleena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+60179554304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KIV — decide Jan 2027</t>
        </is>
      </c>
      <c r="K14" s="73" t="inlineStr">
        <is>
          <t xml:space="preserve">Cold ❄️</t>
        </is>
      </c>
      <c r="L14" s="74" t="inlineStr">
        <is>
          <t xml:space="preserve">Mont Kiara</t>
        </is>
      </c>
      <c r="M14" s="73" t="inlineStr">
        <is>
          <t xml:space="preserve">2,500–3,000 /mo</t>
        </is>
      </c>
      <c r="N14" s="73" t="inlineStr">
        <is>
          <t xml:space="preserve">500–800 sqft</t>
        </is>
      </c>
      <c r="O14" s="73"/>
      <c r="P14" s="74" t="inlineStr">
        <is>
          <t xml:space="preserve">Office lot</t>
        </is>
      </c>
      <c r="Q14" s="75" t="inlineStr">
        <is>
          <t xml:space="preserve">Plaza Mont Kiara</t>
        </is>
      </c>
      <c r="R14" s="75" t="inlineStr">
        <is>
          <t xml:space="preserve">Tower A</t>
        </is>
      </c>
      <c r="S14" s="76"/>
      <c r="T14" s="76" t="inlineStr">
        <is>
          <t xml:space="preserve">15/12/2026</t>
        </is>
      </c>
      <c r="U14" s="75" t="inlineStr">
        <is>
          <t xml:space="preserve">Local Malay law firm — 1 office lot Plaza MK Tower A, RM2.5-3k/mo. Viewed Block B/E 16/06. KIV — will only decide Jan 2027.</t>
        </is>
      </c>
      <c r="V14" s="75" t="inlineStr">
        <is>
          <t xml:space="preserve">Office Tenant / Law Firm</t>
        </is>
      </c>
    </row>
    <row r="15" ht="22.5" customHeight="1">
      <c r="A15" s="73" t="inlineStr">
        <is>
          <t xml:space="preserve">L065</t>
        </is>
      </c>
      <c r="B15" s="74" t="inlineStr">
        <is>
          <t xml:space="preserve">Jackie's Client (Japanese)</t>
        </is>
      </c>
      <c r="C15" s="74" t="inlineStr">
        <is>
          <t xml:space="preserve">Japanese</t>
        </is>
      </c>
      <c r="D15" s="73" t="inlineStr">
        <is>
          <t xml:space="preserve">Japanese / English</t>
        </is>
      </c>
      <c r="E15" s="74"/>
      <c r="F15" s="74"/>
      <c r="G15" s="74" t="inlineStr">
        <is>
          <t xml:space="preserve">Co-agent Jackie</t>
        </is>
      </c>
      <c r="H15" s="74" t="inlineStr">
        <is>
          <t xml:space="preserve">Co-broke — Jackie</t>
        </is>
      </c>
      <c r="I15" s="74" t="inlineStr">
        <is>
          <t xml:space="preserve">Purchaser</t>
        </is>
      </c>
      <c r="J15" s="74" t="inlineStr">
        <is>
          <t xml:space="preserve">Viewed — interested Kiaraville B-6-1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1,500,000</t>
        </is>
      </c>
      <c r="N15" s="73"/>
      <c r="O15" s="73"/>
      <c r="P15" s="74" t="inlineStr">
        <is>
          <t xml:space="preserve">Condo</t>
        </is>
      </c>
      <c r="Q15" s="75" t="inlineStr">
        <is>
          <t xml:space="preserve">Astrea / Kiaraville</t>
        </is>
      </c>
      <c r="R15" s="75"/>
      <c r="S15" s="76"/>
      <c r="T15" s="76" t="inlineStr">
        <is>
          <t xml:space="preserve">07/07/2026</t>
        </is>
      </c>
      <c r="U15" s="75" t="inlineStr">
        <is>
          <t xml:space="preserve">Japanese buyer via co-agent Jackie. Budget RM1.5m. Viewed 06/07 — quite interested in Kiaraville B-6-1 (RM1.47m). Push offer.</t>
        </is>
      </c>
      <c r="V15" s="75" t="inlineStr">
        <is>
          <t xml:space="preserve">Purchaser / Co-broke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Frustrated w/ unit issues (smell, water heater, mgmt cone dmg car); likely staying till tenancy end. Follow up Safwan re water heater quote.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15/07/2026</t>
        </is>
      </c>
      <c r="E5" s="11" t="s">
        <v>6</v>
      </c>
      <c r="F5" s="11" t="s">
        <v>32</v>
      </c>
      <c r="G5" s="11" t="inlineStr">
        <is>
          <t xml:space="preserve">SPA SIGNED — pending cheque clearance &amp; loan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cheque clearance + Loan Agreement (Eric, OCBC); track SPA to vendor lawyer Aisyah. Hold share RM56,225.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15/07/2026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Active — interested Allevia; scheduling viewing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Confirm Allevia units (A-08-01 + a 1,971sf) &amp; lock viewing 17/18-07 closer to trip.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13/07/2026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Continue marketing @ RM6,000/mo; keep generating viewings.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Staying till tenancy end — water heater issue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Follow up Safwan (contractor) for new water heater quote; raise mgmt complaint re car/cone.</t>
        </is>
      </c>
      <c r="K13" s="17"/>
      <c r="L13" s="17" t="s">
        <v>593</v>
      </c>
      <c r="M13" s="17" t="s">
        <v>51</v>
      </c>
      <c r="N13" s="17" t="inlineStr">
        <is>
          <t xml:space="preserve">☐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TA amendment sent — meeting Patrick 10/07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Offer RM4.55m final, via Jin (owner floor 4.7m)</t>
        </is>
      </c>
      <c r="H8" s="50">
        <v>4550000</v>
      </c>
      <c r="I8" s="51">
        <v>0.015</v>
      </c>
      <c r="J8" s="52">
        <f t="shared" si="1"/>
        <v>68250</v>
      </c>
      <c r="K8" s="8"/>
      <c r="L8" s="8"/>
      <c r="M8" s="8"/>
      <c r="N8" s="8"/>
      <c r="O8" s="9" t="inlineStr">
        <is>
          <t xml:space="preserve">Umesh AB-39-02 MK 10 (3,668sf). Offers RM4.2m, RM4.4m, RM4.5m, final RM4.55m (ceiling). Owner floor RM4.7m, investment-firm, not desperate; Nick Lu declined 4.55m. VP: 3-month notice clause once accepted. 11/07 channel switched from Nick Lu to Jin Ooi (open listing, prior rapport). 3% co-broke 50/50, Spencer share 1.5%. At RM4.55m share = RM68,250.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295k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