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<sst xmlns="http://schemas.openxmlformats.org/spreadsheetml/2006/main" count="1559" uniqueCount="720">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</sst>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inlineStr">
        <is>
          <t xml:space="preserve">ENDED — commission returned to Patrick; no longer serving</t>
        </is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inlineStr">
        <is>
          <t xml:space="preserve">Cotti Coffee (Dr Lee) breached &amp; terminated tenancy. New tenant Nas/Kenangan secured &amp; signed. There WAS a signed commission letter, but Patrick still insisted Spencer return the commission. Spencer returned RM8,500 in full as a clean break and ENDED the relationship — no longer serving Patrick.</t>
        </is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Interested C-23-01 (paused) — Germany 1mo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10/08/2026</t>
        </is>
      </c>
      <c r="U6" s="15" t="inlineStr">
        <is>
          <t xml:space="preserve">Buy own stay then rent. Prefer Hijauan Kiara (open balcony). 08/07: keen on C-23-01 but paused (could not speak to owner). Back in Germany 1 month from 08/07.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3% earnest PAID; pending draft SPA</t>
        </is>
      </c>
      <c r="K8" s="17" t="inlineStr">
        <is>
          <t xml:space="preserve">Hot 🔥</t>
        </is>
      </c>
      <c r="L8" s="18" t="inlineStr">
        <is>
          <t xml:space="preserve">Mont Kiara</t>
        </is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Astrea Mont Kiara</t>
        </is>
      </c>
      <c r="R8" s="18"/>
      <c r="S8" s="17"/>
      <c r="T8" s="17" t="inlineStr">
        <is>
          <t xml:space="preserve">28/07/2026</t>
        </is>
      </c>
      <c r="U8" s="18" t="inlineStr">
        <is>
          <t xml:space="preserve"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inlineStr">
        <is>
          <t xml:space="preserve">SPA drafted &amp; sent to vendor's lawyer; pending amendments</t>
        </is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46225</v>
      </c>
      <c r="T10" s="20">
        <v>46233</v>
      </c>
      <c r="U10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Listing — no acceptable prospect yet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L064</t>
        </is>
      </c>
      <c r="B12" s="74" t="inlineStr">
        <is>
          <t xml:space="preserve">Eleena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+60179554304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KIV — decide Jan 2027</t>
        </is>
      </c>
      <c r="K12" s="73" t="inlineStr">
        <is>
          <t xml:space="preserve">Cold ❄️</t>
        </is>
      </c>
      <c r="L12" s="74" t="inlineStr">
        <is>
          <t xml:space="preserve">Mont Kiara</t>
        </is>
      </c>
      <c r="M12" s="73" t="inlineStr">
        <is>
          <t xml:space="preserve">2,500–3,000 /mo</t>
        </is>
      </c>
      <c r="N12" s="73" t="inlineStr">
        <is>
          <t xml:space="preserve">500–800 sqft</t>
        </is>
      </c>
      <c r="O12" s="73"/>
      <c r="P12" s="74" t="inlineStr">
        <is>
          <t xml:space="preserve">Office lot</t>
        </is>
      </c>
      <c r="Q12" s="75" t="inlineStr">
        <is>
          <t xml:space="preserve">Plaza Mont Kiara</t>
        </is>
      </c>
      <c r="R12" s="75" t="inlineStr">
        <is>
          <t xml:space="preserve">Tower A</t>
        </is>
      </c>
      <c r="S12" s="76"/>
      <c r="T12" s="76" t="inlineStr">
        <is>
          <t xml:space="preserve">15/12/2026</t>
        </is>
      </c>
      <c r="U12" s="75" t="inlineStr">
        <is>
          <t xml:space="preserve">Local Malay law firm — 1 office lot Plaza MK Tower A, RM2.5-3k/mo. Viewed Block B/E 16/06. KIV — will only decide Jan 2027.</t>
        </is>
      </c>
      <c r="V12" s="75" t="inlineStr">
        <is>
          <t xml:space="preserve">Office Tenant / Law Firm</t>
        </is>
      </c>
    </row>
    <row r="13" ht="22.5" customHeight="1">
      <c r="A13" s="73" t="inlineStr">
        <is>
          <t xml:space="preserve">L065</t>
        </is>
      </c>
      <c r="B13" s="74" t="inlineStr">
        <is>
          <t xml:space="preserve">Jackie's Client (Japanese)</t>
        </is>
      </c>
      <c r="C13" s="74" t="inlineStr">
        <is>
          <t xml:space="preserve">Japanese</t>
        </is>
      </c>
      <c r="D13" s="73" t="inlineStr">
        <is>
          <t xml:space="preserve">Japanese / English</t>
        </is>
      </c>
      <c r="E13" s="74"/>
      <c r="F13" s="74"/>
      <c r="G13" s="74" t="inlineStr">
        <is>
          <t xml:space="preserve">Co-agent Jackie</t>
        </is>
      </c>
      <c r="H13" s="74" t="inlineStr">
        <is>
          <t xml:space="preserve">Co-broke — Jackie</t>
        </is>
      </c>
      <c r="I13" s="74" t="inlineStr">
        <is>
          <t xml:space="preserve">Purchaser</t>
        </is>
      </c>
      <c r="J13" s="74" t="inlineStr">
        <is>
          <t xml:space="preserve">Not involved — Jackie's client bought Westside 3 DPC via Jackie; no comm to Spencer</t>
        </is>
      </c>
      <c r="K13" s="73" t="inlineStr">
        <is>
          <t xml:space="preserve">Hot 🔥</t>
        </is>
      </c>
      <c r="L13" s="74" t="inlineStr">
        <is>
          <t xml:space="preserve">Desa Park City</t>
        </is>
      </c>
      <c r="M13" s="73" t="inlineStr">
        <is>
          <t xml:space="preserve">1,500,000</t>
        </is>
      </c>
      <c r="N13" s="73"/>
      <c r="O13" s="73"/>
      <c r="P13" s="74" t="inlineStr">
        <is>
          <t xml:space="preserve">Condo</t>
        </is>
      </c>
      <c r="Q13" s="75" t="inlineStr">
        <is>
          <t xml:space="preserve">Westside 3 Desa Park City</t>
        </is>
      </c>
      <c r="R13" s="75"/>
      <c r="S13" s="76"/>
      <c r="T13" s="76" t="inlineStr">
        <is>
          <t xml:space="preserve">24/07/2026</t>
        </is>
      </c>
      <c r="U13" s="75" t="inlineStr">
        <is>
          <t xml:space="preserve">Japanese buyer via co-agent Jackie. Bought Westside 3 Desa Park City through Jackie. Spencer NOT involved in that deal, no commission. Lead closed.</t>
        </is>
      </c>
      <c r="V13" s="75" t="inlineStr">
        <is>
          <t xml:space="preserve">Purchaser / Co-broke</t>
        </is>
      </c>
    </row>
    <row r="14" ht="22.5" customHeight="1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Vacating 31/07 — check-out appointment set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inlineStr">
        <is>
          <t xml:space="preserve">Rented another unit at RM 11,500 with another agent, 01/08/2026 - 31/07/2028. Check-out appointment 31/07/2026 (vacating Duta Nusantara 72).</t>
        </is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letter SIGNED, pending earnest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SPA SIGNED &amp; STAMPED; pending Eric's credit officer (OCBC loan)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Tenancy signed; COMMISSION RETURNED to Patrick (Spencer RM0)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/>
      <c r="X58" s="22" t="inlineStr">
        <is>
          <t xml:space="preserve">Tenant / Commercial (Done)</t>
        </is>
      </c>
    </row>
    <row r="59" ht="15.75" customHeight="1">
      <c r="A59" s="21" t="inlineStr">
        <is>
          <t xml:space="preserve">L063</t>
        </is>
      </c>
      <c r="B59" s="22" t="inlineStr">
        <is>
          <t xml:space="preserve">Aaron</t>
        </is>
      </c>
      <c r="C59" s="22" t="inlineStr">
        <is>
          <t xml:space="preserve">Malaysian</t>
        </is>
      </c>
      <c r="D59" s="21" t="inlineStr">
        <is>
          <t xml:space="preserve">English</t>
        </is>
      </c>
      <c r="E59" s="22" t="inlineStr">
        <is>
          <t xml:space="preserve">+60122354261</t>
        </is>
      </c>
      <c r="F59" s="22"/>
      <c r="G59" s="22" t="inlineStr">
        <is>
          <t xml:space="preserve">WhatsApp</t>
        </is>
      </c>
      <c r="H59" s="22" t="inlineStr">
        <is>
          <t xml:space="preserve">iProperty</t>
        </is>
      </c>
      <c r="I59" s="22" t="inlineStr">
        <is>
          <t xml:space="preserve">Tenant (owns Allevia A-29-02)</t>
        </is>
      </c>
      <c r="J59" s="22" t="inlineStr">
        <is>
          <t xml:space="preserve">✅ Rented Allevia A-15-03 @ RM9,000/mo (co-broke Nigel; Spencer share RM5,625)</t>
        </is>
      </c>
      <c r="K59" s="21"/>
      <c r="L59" s="22" t="inlineStr">
        <is>
          <t xml:space="preserve">Mont Kiara</t>
        </is>
      </c>
      <c r="M59" s="21" t="inlineStr">
        <is>
          <t xml:space="preserve">9,000 /mo</t>
        </is>
      </c>
      <c r="N59" s="21"/>
      <c r="O59" s="22" t="inlineStr">
        <is>
          <t xml:space="preserve">Condominium</t>
        </is>
      </c>
      <c r="P59" s="22" t="inlineStr">
        <is>
          <t xml:space="preserve">Allevia</t>
        </is>
      </c>
      <c r="Q59" s="22" t="inlineStr">
        <is>
          <t xml:space="preserve">A-15-03</t>
        </is>
      </c>
      <c r="R59" s="21"/>
      <c r="S59" s="21"/>
      <c r="T59" s="21" t="inlineStr">
        <is>
          <t xml:space="preserve">28/07/2026</t>
        </is>
      </c>
      <c r="U59" s="21"/>
      <c r="V59" s="22" t="inlineStr">
        <is>
          <t xml:space="preserve">Tenant (also owns Allevia A-29-02). Rented Allevia A-15-03 @ RM9,000/mo. Booking fee collected 28/07. Comm 1.25 month = RM11,250, co-broke 50/50 with Nigel; Spencer share RM5,625.</t>
        </is>
      </c>
      <c r="W59" s="22"/>
      <c r="X59" s="22" t="inlineStr">
        <is>
          <t xml:space="preserve">Tenant / Nurture</t>
        </is>
      </c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11/07/2026</t>
        </is>
      </c>
      <c r="E4" s="17" t="s">
        <v>6</v>
      </c>
      <c r="F4" s="17" t="s">
        <v>32</v>
      </c>
      <c r="G4" s="17" t="inlineStr">
        <is>
          <t xml:space="preserve">Offer RM4.4m placed — awaiting Nick Lu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Await Nick Lu reply on RM4.4m + earliest VP; negotiate. Comm 3% co-broke 50/50 (share 1.5%).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28/07/2026</t>
        </is>
      </c>
      <c r="E5" s="11" t="s">
        <v>6</v>
      </c>
      <c r="F5" s="11" t="s">
        <v>32</v>
      </c>
      <c r="G5" s="11" t="inlineStr">
        <is>
          <t xml:space="preserve">SPA signed &amp; STAMPED — pending OCBC loan approval (Eric)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Eric (OCBC) for loan approval revert; then completion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24/07/2026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Offer RM1.30m Astrea 30-06 (Zoey unit); floor RM1.35m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Close ~5万 gap; push 马太太 to RM1.35m; prep 意向合同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inlineStr">
        <is>
          <t xml:space="preserve">Done</t>
        </is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24/07/2026</t>
        </is>
      </c>
      <c r="E11" s="17" t="s">
        <v>6</v>
      </c>
      <c r="F11" s="17" t="s">
        <v>32</v>
      </c>
      <c r="G11" s="17" t="inlineStr">
        <is>
          <t xml:space="preserve">SELLING to 马太太 — offer 1.30m vs floor 1.35m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Bridge to RM1.35m; convert rental listing to sale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Water heater FIXED — resolved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Resolved; monitor till tenancy end</t>
        </is>
      </c>
      <c r="K13" s="17"/>
      <c r="L13" s="17" t="s">
        <v>593</v>
      </c>
      <c r="M13" s="17" t="s">
        <v>51</v>
      </c>
      <c r="N13" s="17" t="inlineStr">
        <is>
          <t xml:space="preserve">Done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16/07/2026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Kenangan tenancy signed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Done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Done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Closed — Spencer not involved (Jackie's deal)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Done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inlineStr">
        <is>
          <t xml:space="preserve">Astrea Mont Kiara 30-06 (Zoey's unit)</t>
        </is>
      </c>
      <c r="E7" s="14" t="s">
        <v>56</v>
      </c>
      <c r="F7" s="14" t="s">
        <v>631</v>
      </c>
      <c r="G7" s="14" t="inlineStr">
        <is>
          <t xml:space="preserve">Earnest PAID (3%); pending draft SPA</t>
        </is>
      </c>
      <c r="H7" s="47">
        <v>1350000</v>
      </c>
      <c r="I7" s="48">
        <v>0.02</v>
      </c>
      <c r="J7" s="49">
        <f>H7*I7</f>
        <v>27000</v>
      </c>
      <c r="K7" s="14"/>
      <c r="L7" s="14"/>
      <c r="M7" s="14"/>
      <c r="N7" s="14"/>
      <c r="O7" s="15" t="inlineStr">
        <is>
          <t xml:space="preserve"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SPA drafted, sent to vendor lawyer; pending amendments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commission RETURNED to Patrick (RM0)</t>
        </is>
      </c>
      <c r="H9" s="50">
        <v>8500</v>
      </c>
      <c r="I9" s="51"/>
      <c r="J9" s="52">
        <v>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✅ DONE — rental RM9,000/mo, booking fee in, co-broke Nigel</t>
        </is>
      </c>
      <c r="H10" s="50">
        <v>9000</v>
      </c>
      <c r="I10" s="51"/>
      <c r="J10" s="52">
        <v>5625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10</t>
        </is>
      </c>
      <c r="E5" s="55"/>
      <c r="F5" s="25"/>
      <c r="G5" s="61" t="inlineStr">
        <is>
          <t xml:space="preserve">55</t>
        </is>
      </c>
      <c r="H5" s="55"/>
      <c r="I5" s="25"/>
      <c r="J5" s="61" t="inlineStr">
        <is>
          <t xml:space="preserve">RM 21,625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15.9mil</t>
        </is>
      </c>
      <c r="E9" s="55"/>
      <c r="F9" s="25"/>
      <c r="G9" s="61" t="inlineStr">
        <is>
          <t xml:space="preserve">RM 221k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