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<sst xmlns="http://schemas.openxmlformats.org/spreadsheetml/2006/main" count="1559" uniqueCount="720">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</sst>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inlineStr">
        <is>
          <t xml:space="preserve">Setapak</t>
        </is>
      </c>
      <c r="M4" s="10">
        <v>9500.0</v>
      </c>
      <c r="N4" s="10"/>
      <c r="O4" s="8"/>
      <c r="P4" s="9" t="s">
        <v>34</v>
      </c>
      <c r="Q4" s="9" t="inlineStr">
        <is>
          <t xml:space="preserve">KLTS Setapak</t>
        </is>
      </c>
      <c r="R4" s="9" t="inlineStr">
        <is>
          <t xml:space="preserve">51-G-1</t>
        </is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4" t="s">
        <v>48</v>
      </c>
      <c r="B5" s="15" t="s">
        <v>49</v>
      </c>
      <c r="C5" s="15" t="s">
        <v>50</v>
      </c>
      <c r="D5" s="14" t="s">
        <v>51</v>
      </c>
      <c r="E5" s="15" t="s">
        <v>52</v>
      </c>
      <c r="F5" s="15"/>
      <c r="G5" s="15" t="s">
        <v>6</v>
      </c>
      <c r="H5" s="15" t="s">
        <v>53</v>
      </c>
      <c r="I5" s="15" t="s">
        <v>54</v>
      </c>
      <c r="J5" s="15" t="inlineStr">
        <is>
          <t xml:space="preserve">Interested C-23-01 (paused) — Germany 1mo</t>
        </is>
      </c>
      <c r="K5" s="14" t="s">
        <v>32</v>
      </c>
      <c r="L5" s="15" t="s">
        <v>56</v>
      </c>
      <c r="M5" s="16">
        <v>1800000.0</v>
      </c>
      <c r="N5" s="16"/>
      <c r="O5" s="14" t="s">
        <v>57</v>
      </c>
      <c r="P5" s="15" t="s">
        <v>58</v>
      </c>
      <c r="Q5" s="15" t="s">
        <v>59</v>
      </c>
      <c r="R5" s="15" t="s">
        <v>60</v>
      </c>
      <c r="S5" s="14" t="inlineStr">
        <is>
          <t xml:space="preserve">09/06/2026</t>
        </is>
      </c>
      <c r="T5" s="14" t="inlineStr">
        <is>
          <t xml:space="preserve">10/08/2026</t>
        </is>
      </c>
      <c r="U5" s="15" t="inlineStr">
        <is>
          <t xml:space="preserve">Buy own stay then rent. Prefer Hijauan Kiara (open balcony). 08/07: keen on C-23-01 but paused (could not speak to owner). Back in Germany 1 month from 08/07.</t>
        </is>
      </c>
      <c r="V5" s="15" t="s">
        <v>64</v>
      </c>
    </row>
    <row r="6" ht="22.5" customHeight="1">
      <c r="A6" s="14" t="s">
        <v>65</v>
      </c>
      <c r="B6" s="15" t="s">
        <v>66</v>
      </c>
      <c r="C6" s="15" t="s">
        <v>67</v>
      </c>
      <c r="D6" s="14" t="s">
        <v>51</v>
      </c>
      <c r="E6" s="15" t="s">
        <v>68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Interested C-23-01 (paused) — Germany 1mo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10/08/2026</t>
        </is>
      </c>
      <c r="U6" s="15" t="inlineStr">
        <is>
          <t xml:space="preserve">Buy own stay then rent. Prefer Hijauan Kiara (open balcony). 08/07: keen on C-23-01 but paused (could not speak to owner). Back in Germany 1 month from 08/07.</t>
        </is>
      </c>
      <c r="V6" s="15" t="s">
        <v>64</v>
      </c>
    </row>
    <row r="7" ht="22.5" customHeight="1">
      <c r="A7" s="17" t="s">
        <v>69</v>
      </c>
      <c r="B7" s="18" t="s">
        <v>70</v>
      </c>
      <c r="C7" s="18" t="s">
        <v>71</v>
      </c>
      <c r="D7" s="17" t="s">
        <v>51</v>
      </c>
      <c r="E7" s="18" t="s">
        <v>72</v>
      </c>
      <c r="F7" s="18"/>
      <c r="G7" s="18" t="s">
        <v>6</v>
      </c>
      <c r="H7" s="18" t="s">
        <v>42</v>
      </c>
      <c r="I7" s="18" t="s">
        <v>73</v>
      </c>
      <c r="J7" s="18" t="s">
        <v>74</v>
      </c>
      <c r="K7" s="17" t="s">
        <v>75</v>
      </c>
      <c r="L7" s="18" t="s">
        <v>56</v>
      </c>
      <c r="M7" s="19">
        <v>4000.0</v>
      </c>
      <c r="N7" s="19"/>
      <c r="O7" s="17" t="s">
        <v>57</v>
      </c>
      <c r="P7" s="18" t="s">
        <v>58</v>
      </c>
      <c r="Q7" s="18"/>
      <c r="R7" s="18"/>
      <c r="S7" s="17"/>
      <c r="T7" s="17"/>
      <c r="U7" s="18" t="s">
        <v>76</v>
      </c>
      <c r="V7" s="18" t="s">
        <v>77</v>
      </c>
    </row>
    <row r="8">
      <c r="A8" s="17" t="s">
        <v>78</v>
      </c>
      <c r="B8" s="18" t="s">
        <v>79</v>
      </c>
      <c r="C8" s="18" t="s">
        <v>80</v>
      </c>
      <c r="D8" s="17" t="s">
        <v>27</v>
      </c>
      <c r="E8" s="18"/>
      <c r="F8" s="18" t="s">
        <v>81</v>
      </c>
      <c r="G8" s="18" t="s">
        <v>82</v>
      </c>
      <c r="H8" s="18" t="s">
        <v>83</v>
      </c>
      <c r="I8" s="18" t="s">
        <v>43</v>
      </c>
      <c r="J8" s="18" t="inlineStr">
        <is>
          <t xml:space="preserve">Active — interested Allevia</t>
        </is>
      </c>
      <c r="K8" s="17" t="inlineStr">
        <is>
          <t xml:space="preserve">Hot 🔥</t>
        </is>
      </c>
      <c r="L8" s="18" t="s">
        <v>84</v>
      </c>
      <c r="M8" s="19">
        <v>2000000.0</v>
      </c>
      <c r="N8" s="19"/>
      <c r="O8" s="17" t="s">
        <v>57</v>
      </c>
      <c r="P8" s="18" t="s">
        <v>58</v>
      </c>
      <c r="Q8" s="18" t="inlineStr">
        <is>
          <t xml:space="preserve">Allevia</t>
        </is>
      </c>
      <c r="R8" s="18"/>
      <c r="S8" s="17"/>
      <c r="T8" s="17" t="inlineStr">
        <is>
          <t xml:space="preserve">15/07/2026</t>
        </is>
      </c>
      <c r="U8" s="18" t="inlineStr">
        <is>
          <t xml:space="preserve">China cash buyer ~RM2m. Interested in Allevia 1,757sf (A-08-01) &amp; 1,971sf. Travelling to KL week of 16/07; viewing 17 or 18/07 (units not confirmed yet). Sharavana B-29-01 (1,971sf @ RM2.3m) = possible match for the 1,971sf.</t>
        </is>
      </c>
      <c r="V8" s="18" t="s">
        <v>86</v>
      </c>
    </row>
    <row r="9" ht="32.25" customHeight="1">
      <c r="A9" s="17" t="s">
        <v>87</v>
      </c>
      <c r="B9" s="18" t="s">
        <v>88</v>
      </c>
      <c r="C9" s="18" t="s">
        <v>89</v>
      </c>
      <c r="D9" s="17" t="s">
        <v>27</v>
      </c>
      <c r="E9" s="18"/>
      <c r="F9" s="18" t="s">
        <v>90</v>
      </c>
      <c r="G9" s="18" t="s">
        <v>82</v>
      </c>
      <c r="H9" s="18" t="s">
        <v>91</v>
      </c>
      <c r="I9" s="18" t="s">
        <v>43</v>
      </c>
      <c r="J9" s="18" t="s">
        <v>92</v>
      </c>
      <c r="K9" s="17" t="s">
        <v>32</v>
      </c>
      <c r="L9" s="18" t="s">
        <v>56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 t="s">
        <v>93</v>
      </c>
      <c r="T9" s="17"/>
      <c r="U9" s="18" t="s">
        <v>94</v>
      </c>
      <c r="V9" s="18" t="s">
        <v>86</v>
      </c>
    </row>
    <row r="10" ht="32.25" customHeight="1">
      <c r="A10" s="11" t="s">
        <v>95</v>
      </c>
      <c r="B10" s="12" t="s">
        <v>96</v>
      </c>
      <c r="C10" s="12" t="s">
        <v>97</v>
      </c>
      <c r="D10" s="11" t="s">
        <v>51</v>
      </c>
      <c r="E10" s="12" t="s">
        <v>98</v>
      </c>
      <c r="F10" s="12"/>
      <c r="G10" s="12"/>
      <c r="H10" s="12" t="s">
        <v>99</v>
      </c>
      <c r="I10" s="12" t="s">
        <v>43</v>
      </c>
      <c r="J10" s="12" t="s">
        <v>100</v>
      </c>
      <c r="K10" s="11" t="s">
        <v>32</v>
      </c>
      <c r="L10" s="12" t="s">
        <v>56</v>
      </c>
      <c r="M10" s="13">
        <v>4500000</v>
      </c>
      <c r="N10" s="13"/>
      <c r="O10" s="11" t="s">
        <v>57</v>
      </c>
      <c r="P10" s="12" t="s">
        <v>58</v>
      </c>
      <c r="Q10" s="12" t="s">
        <v>101</v>
      </c>
      <c r="R10" s="12" t="s">
        <v>102</v>
      </c>
      <c r="S10" s="20">
        <v>46179</v>
      </c>
      <c r="T10" s="20">
        <v>46183</v>
      </c>
      <c r="U10" s="12" t="inlineStr">
        <is>
          <t xml:space="preserve">Indian purchaser, MAX RM4.5m. AB-39-02 MK 10 — owner floor RM4.7m; Umesh quiet (likely declining at price). LOAN 70%. NEXT: source alternatives ~RM4.5m (MK 10/nearby); soft follow-up ~26/06.</t>
        </is>
      </c>
      <c r="V10" s="12" t="s">
        <v>104</v>
      </c>
    </row>
    <row r="11" ht="22.5" customHeight="1">
      <c r="A11" s="73" t="inlineStr">
        <is>
          <t>L059</t>
        </is>
      </c>
      <c r="B11" s="74" t="inlineStr">
        <is>
          <t>Ms Norain</t>
        </is>
      </c>
      <c r="C11" s="74" t="inlineStr">
        <is>
          <t>Malaysian</t>
        </is>
      </c>
      <c r="D11" s="73" t="inlineStr">
        <is>
          <t>Malay, English</t>
        </is>
      </c>
      <c r="E11" s="74" t="inlineStr">
        <is>
          <t>+60162138240</t>
        </is>
      </c>
      <c r="F11" s="74"/>
      <c r="G11" s="74" t="inlineStr">
        <is>
          <t>WhatsApp</t>
        </is>
      </c>
      <c r="H11" s="74"/>
      <c r="I11" s="74" t="inlineStr">
        <is>
          <t>Owner</t>
        </is>
      </c>
      <c r="J11" s="74" t="inlineStr">
        <is>
          <t xml:space="preserve">Listing — no acceptable prospect yet</t>
        </is>
      </c>
      <c r="K11" s="73" t="inlineStr">
        <is>
          <t>Hot 🔥</t>
        </is>
      </c>
      <c r="L11" s="74" t="inlineStr">
        <is>
          <t>Mont Kiara</t>
        </is>
      </c>
      <c r="M11" s="73" t="inlineStr">
        <is>
          <t xml:space="preserve">7,500 /mo</t>
        </is>
      </c>
      <c r="N11" s="73"/>
      <c r="O11" s="73"/>
      <c r="P11" s="74" t="inlineStr">
        <is>
          <t>Condo</t>
        </is>
      </c>
      <c r="Q11" s="75" t="inlineStr">
        <is>
          <t>Astrea Mont Kiara</t>
        </is>
      </c>
      <c r="R11" s="75" t="inlineStr">
        <is>
          <t>12-07</t>
        </is>
      </c>
      <c r="S11" s="76"/>
      <c r="T11" s="76" t="inlineStr">
        <is>
          <t xml:space="preserve">12/06/2026</t>
        </is>
      </c>
      <c r="U11" s="75" t="inlineStr">
        <is>
          <t xml:space="preserve">Owner — Astrea MK 12-07, master rental listing @ RM7,500/mo. 10/06 showing to Ms Yoon (Korean) — not keen; sourcing another tenant.</t>
        </is>
      </c>
      <c r="V11" s="75" t="inlineStr">
        <is>
          <t>Owner / Rental listing</t>
        </is>
      </c>
    </row>
    <row r="12" ht="22.5" customHeight="1">
      <c r="A12" s="73" t="inlineStr">
        <is>
          <t xml:space="preserve">L061</t>
        </is>
      </c>
      <c r="B12" s="74" t="inlineStr">
        <is>
          <t xml:space="preserve">Nas (Kenangan Coffee)</t>
        </is>
      </c>
      <c r="C12" s="74" t="inlineStr">
        <is>
          <t xml:space="preserve">Malaysian</t>
        </is>
      </c>
      <c r="D12" s="73" t="inlineStr">
        <is>
          <t xml:space="preserve">Malay, English</t>
        </is>
      </c>
      <c r="E12" s="74" t="inlineStr">
        <is>
          <t xml:space="preserve">+60194707037</t>
        </is>
      </c>
      <c r="F12" s="74"/>
      <c r="G12" s="74" t="inlineStr">
        <is>
          <t xml:space="preserve">WhatsApp</t>
        </is>
      </c>
      <c r="H12" s="74" t="inlineStr">
        <is>
          <t xml:space="preserve">iProperty — KLTS Setapak 51-G-1 (Patrick Chow)</t>
        </is>
      </c>
      <c r="I12" s="74" t="inlineStr">
        <is>
          <t xml:space="preserve">Tenant</t>
        </is>
      </c>
      <c r="J12" s="74" t="inlineStr">
        <is>
          <t xml:space="preserve">Offer letter signed — deposit pending</t>
        </is>
      </c>
      <c r="K12" s="73" t="inlineStr">
        <is>
          <t xml:space="preserve">Hot 🔥</t>
        </is>
      </c>
      <c r="L12" s="74" t="inlineStr">
        <is>
          <t xml:space="preserve">Setapak</t>
        </is>
      </c>
      <c r="M12" s="73" t="inlineStr">
        <is>
          <t xml:space="preserve">8,500–9,000 /mo</t>
        </is>
      </c>
      <c r="N12" s="73"/>
      <c r="O12" s="73"/>
      <c r="P12" s="74" t="inlineStr">
        <is>
          <t xml:space="preserve">Commercial Shoplot</t>
        </is>
      </c>
      <c r="Q12" s="75" t="inlineStr">
        <is>
          <t xml:space="preserve">KLTS Setapak 51-G-1 (Patrick Chow)</t>
        </is>
      </c>
      <c r="R12" s="75" t="inlineStr">
        <is>
          <t xml:space="preserve">51-G-1</t>
        </is>
      </c>
      <c r="S12" s="76" t="inlineStr">
        <is>
          <t xml:space="preserve">09/06/2026</t>
        </is>
      </c>
      <c r="T12" s="76" t="inlineStr">
        <is>
          <t xml:space="preserve">10/06/2026</t>
        </is>
      </c>
      <c r="U12" s="75" t="inlineStr">
        <is>
          <t xml:space="preserve">Kenangan Coffee (F&amp;B). Tenant for Patrick Chow's KLTS Setapak 51-G-1 @ RM8,500(yr1)/RM9,000(yr2-3), 3+3yrs, as-is basis. Offer placed; gap on free reno (Nas 1mth vs Patrick 15 days).</t>
        </is>
      </c>
      <c r="V12" s="75" t="inlineStr">
        <is>
          <t xml:space="preserve">F&amp;B Tenant / Shoplot</t>
        </is>
      </c>
    </row>
    <row r="13" ht="22.5" customHeight="1">
      <c r="A13" s="73" t="inlineStr">
        <is>
          <t xml:space="preserve">L063</t>
        </is>
      </c>
      <c r="B13" s="74" t="inlineStr">
        <is>
          <t xml:space="preserve">Aaron</t>
        </is>
      </c>
      <c r="C13" s="74" t="inlineStr">
        <is>
          <t xml:space="preserve">Malaysian</t>
        </is>
      </c>
      <c r="D13" s="73" t="inlineStr">
        <is>
          <t xml:space="preserve">English</t>
        </is>
      </c>
      <c r="E13" s="74" t="inlineStr">
        <is>
          <t xml:space="preserve">+60122354261</t>
        </is>
      </c>
      <c r="F13" s="74"/>
      <c r="G13" s="74" t="inlineStr">
        <is>
          <t xml:space="preserve">WhatsApp</t>
        </is>
      </c>
      <c r="H13" s="74" t="inlineStr">
        <is>
          <t xml:space="preserve">iProperty</t>
        </is>
      </c>
      <c r="I13" s="74" t="inlineStr">
        <is>
          <t xml:space="preserve">Tenant (also owner A-29-02 Allevia)</t>
        </is>
      </c>
      <c r="J13" s="74" t="inlineStr">
        <is>
          <t xml:space="preserve">Viewing Pavilion DH 10/07 (RM15-22k)</t>
        </is>
      </c>
      <c r="K13" s="73" t="inlineStr">
        <is>
          <t xml:space="preserve">Hot 🔥</t>
        </is>
      </c>
      <c r="L13" s="74" t="inlineStr">
        <is>
          <t xml:space="preserve">Mont Kiara</t>
        </is>
      </c>
      <c r="M13" s="73" t="inlineStr">
        <is>
          <t xml:space="preserve">15,000-22,000 /mo</t>
        </is>
      </c>
      <c r="N13" s="73"/>
      <c r="O13" s="73" t="inlineStr">
        <is>
          <t xml:space="preserve">3</t>
        </is>
      </c>
      <c r="P13" s="74" t="inlineStr">
        <is>
          <t xml:space="preserve">Condo</t>
        </is>
      </c>
      <c r="Q13" s="75" t="inlineStr">
        <is>
          <t xml:space="preserve">Allevia</t>
        </is>
      </c>
      <c r="R13" s="75" t="inlineStr">
        <is>
          <t xml:space="preserve">owns A-29-02</t>
        </is>
      </c>
      <c r="S13" s="76"/>
      <c r="T13" s="76" t="inlineStr">
        <is>
          <t xml:space="preserve">10/07/2026</t>
        </is>
      </c>
      <c r="U13" s="75" t="inlineStr">
        <is>
          <t xml:space="preserve">Tenant. Viewing Pavilion Damansara Heights 10/07 2pm (1,878sf RM15k / 2,303sf RM15k / 2,803sf RM22k, all PF). Budget flexed up. Allevia B-29-01 not proceeded. Owns Allevia A-29-02 (own stay).</t>
        </is>
      </c>
      <c r="V13" s="75" t="inlineStr">
        <is>
          <t xml:space="preserve">Local Chinese Tenant / Owner</t>
        </is>
      </c>
    </row>
    <row r="14" ht="22.5" customHeight="1">
      <c r="A14" s="73" t="inlineStr">
        <is>
          <t xml:space="preserve">L064</t>
        </is>
      </c>
      <c r="B14" s="74" t="inlineStr">
        <is>
          <t xml:space="preserve">Eleena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+60179554304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KIV — decide Jan 2027</t>
        </is>
      </c>
      <c r="K14" s="73" t="inlineStr">
        <is>
          <t xml:space="preserve">Cold ❄️</t>
        </is>
      </c>
      <c r="L14" s="74" t="inlineStr">
        <is>
          <t xml:space="preserve">Mont Kiara</t>
        </is>
      </c>
      <c r="M14" s="73" t="inlineStr">
        <is>
          <t xml:space="preserve">2,500–3,000 /mo</t>
        </is>
      </c>
      <c r="N14" s="73" t="inlineStr">
        <is>
          <t xml:space="preserve">500–800 sqft</t>
        </is>
      </c>
      <c r="O14" s="73"/>
      <c r="P14" s="74" t="inlineStr">
        <is>
          <t xml:space="preserve">Office lot</t>
        </is>
      </c>
      <c r="Q14" s="75" t="inlineStr">
        <is>
          <t xml:space="preserve">Plaza Mont Kiara</t>
        </is>
      </c>
      <c r="R14" s="75" t="inlineStr">
        <is>
          <t xml:space="preserve">Tower A</t>
        </is>
      </c>
      <c r="S14" s="76"/>
      <c r="T14" s="76" t="inlineStr">
        <is>
          <t xml:space="preserve">15/12/2026</t>
        </is>
      </c>
      <c r="U14" s="75" t="inlineStr">
        <is>
          <t xml:space="preserve">Local Malay law firm — 1 office lot Plaza MK Tower A, RM2.5-3k/mo. Viewed Block B/E 16/06. KIV — will only decide Jan 2027.</t>
        </is>
      </c>
      <c r="V14" s="75" t="inlineStr">
        <is>
          <t xml:space="preserve">Office Tenant / Law Firm</t>
        </is>
      </c>
    </row>
    <row r="15" ht="22.5" customHeight="1">
      <c r="A15" s="73" t="inlineStr">
        <is>
          <t xml:space="preserve">L065</t>
        </is>
      </c>
      <c r="B15" s="74" t="inlineStr">
        <is>
          <t xml:space="preserve">Jackie's Client (Japanese)</t>
        </is>
      </c>
      <c r="C15" s="74" t="inlineStr">
        <is>
          <t xml:space="preserve">Japanese</t>
        </is>
      </c>
      <c r="D15" s="73" t="inlineStr">
        <is>
          <t xml:space="preserve">Japanese / English</t>
        </is>
      </c>
      <c r="E15" s="74"/>
      <c r="F15" s="74"/>
      <c r="G15" s="74" t="inlineStr">
        <is>
          <t xml:space="preserve">Co-agent Jackie</t>
        </is>
      </c>
      <c r="H15" s="74" t="inlineStr">
        <is>
          <t xml:space="preserve">Co-broke — Jackie</t>
        </is>
      </c>
      <c r="I15" s="74" t="inlineStr">
        <is>
          <t xml:space="preserve">Purchaser</t>
        </is>
      </c>
      <c r="J15" s="74" t="inlineStr">
        <is>
          <t xml:space="preserve">Viewed — interested Kiaraville B-6-1</t>
        </is>
      </c>
      <c r="K15" s="73" t="inlineStr">
        <is>
          <t xml:space="preserve">Hot 🔥</t>
        </is>
      </c>
      <c r="L15" s="74" t="inlineStr">
        <is>
          <t xml:space="preserve">Mont Kiara</t>
        </is>
      </c>
      <c r="M15" s="73" t="inlineStr">
        <is>
          <t xml:space="preserve">1,500,000</t>
        </is>
      </c>
      <c r="N15" s="73"/>
      <c r="O15" s="73"/>
      <c r="P15" s="74" t="inlineStr">
        <is>
          <t xml:space="preserve">Condo</t>
        </is>
      </c>
      <c r="Q15" s="75" t="inlineStr">
        <is>
          <t xml:space="preserve">Astrea / Kiaraville</t>
        </is>
      </c>
      <c r="R15" s="75"/>
      <c r="S15" s="76"/>
      <c r="T15" s="76" t="inlineStr">
        <is>
          <t xml:space="preserve">07/07/2026</t>
        </is>
      </c>
      <c r="U15" s="75" t="inlineStr">
        <is>
          <t xml:space="preserve">Japanese buyer via co-agent Jackie. Budget RM1.5m. Viewed 06/07 — quite interested in Kiaraville B-6-1 (RM1.47m). Push offer.</t>
        </is>
      </c>
      <c r="V15" s="75" t="inlineStr">
        <is>
          <t xml:space="preserve">Purchaser / Co-broke</t>
        </is>
      </c>
    </row>
    <row r="16" ht="22.5" customHeight="1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inlineStr">
        <is>
          <t xml:space="preserve">10/07/2026</t>
        </is>
      </c>
      <c r="V11" s="22" t="inlineStr">
        <is>
          <t xml:space="preserve">Frustrated w/ unit issues (smell, water heater, mgmt cone dmg car); likely staying till tenancy end. Follow up Safwan re water heater quote.</t>
        </is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 t="inlineStr">
        <is>
          <t xml:space="preserve">19/02/2027</t>
        </is>
      </c>
      <c r="V21" s="22" t="inlineStr">
        <is>
          <t xml:space="preserve">Tenant 2 months in ARREARS (RM6,200). Landlord NOT renewing — non-renewal notice issued; tenancy to end 19/02/2027, recover arrears.</t>
        </is>
      </c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inlineStr">
        <is>
          <t xml:space="preserve">Moved Out</t>
        </is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inlineStr">
        <is>
          <t xml:space="preserve">Moved out to Hyatt Regency Hostel (lease ended 23/05/2026). No renewal.</t>
        </is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inlineStr">
        <is>
          <t xml:space="preserve">Lease ended — re-letting</t>
        </is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inlineStr">
        <is>
          <t xml:space="preserve">Tenant Kim Jungju checked out 30/06/2026 9:30am. Unit (1,364sf) re-letting @ RM6,000/mo.</t>
        </is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inlineStr">
        <is>
          <t xml:space="preserve">21/02/2027</t>
        </is>
      </c>
      <c r="T38" s="21" t="s">
        <v>61</v>
      </c>
      <c r="U38" s="21" t="s">
        <v>209</v>
      </c>
      <c r="V38" s="22" t="inlineStr">
        <is>
          <t xml:space="preserve">Search for suitable rental units Extended 6 months — lease now to 21/02/2027 (did not take AmanAra).</t>
        </is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inlineStr">
        <is>
          <t xml:space="preserve">21/06/2026</t>
        </is>
      </c>
      <c r="V50" s="22" t="inlineStr">
        <is>
          <t xml:space="preserve">Handover/check-in 21/06/2026 (Sun) 3pm at Inspirasi A-12-06. Handover completed 21/06/2026.</t>
        </is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inlineStr">
        <is>
          <t xml:space="preserve">Check-in completed 03/07/2026.</t>
        </is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inlineStr">
        <is>
          <t xml:space="preserve">30/06/2026</t>
        </is>
      </c>
      <c r="V52" s="22" t="inlineStr">
        <is>
          <t xml:space="preserve">Check-in 30/06/2026 (Tue) 1pm. Co-agent: Wei Young. Tenancy 01/07/2026–30/06/2028. Check-in completed.</t>
        </is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1" t="inlineStr">
        <is>
          <t xml:space="preserve">L034</t>
        </is>
      </c>
      <c r="B54" s="22" t="inlineStr">
        <is>
          <t xml:space="preserve">Datuk Francis</t>
        </is>
      </c>
      <c r="C54" s="22" t="inlineStr">
        <is>
          <t xml:space="preserve">Malaysia</t>
        </is>
      </c>
      <c r="D54" s="21" t="inlineStr">
        <is>
          <t xml:space="preserve">Mandarin</t>
        </is>
      </c>
      <c r="E54" s="22" t="inlineStr">
        <is>
          <t xml:space="preserve">+60163286188</t>
        </is>
      </c>
      <c r="F54" s="22"/>
      <c r="G54" s="22" t="inlineStr">
        <is>
          <t xml:space="preserve">WhatsApp</t>
        </is>
      </c>
      <c r="H54" s="22"/>
      <c r="I54" s="22" t="inlineStr">
        <is>
          <t xml:space="preserve">Purchaser</t>
        </is>
      </c>
      <c r="J54" s="22" t="inlineStr">
        <is>
          <t xml:space="preserve">Purchase — Offer Letter Signed + Deposit In</t>
        </is>
      </c>
      <c r="K54" s="21"/>
      <c r="L54" s="22" t="inlineStr">
        <is>
          <t xml:space="preserve">Hartamas Heights</t>
        </is>
      </c>
      <c r="M54" s="21">
        <v>5622500</v>
      </c>
      <c r="N54" s="21"/>
      <c r="O54" s="22" t="inlineStr">
        <is>
          <t xml:space="preserve">Bungalow Land</t>
        </is>
      </c>
      <c r="P54" s="22" t="inlineStr">
        <is>
          <t xml:space="preserve">Hartamas Heights (Lot 58629)</t>
        </is>
      </c>
      <c r="Q54" s="22" t="inlineStr">
        <is>
          <t xml:space="preserve">No. 21 — 6,500sf land</t>
        </is>
      </c>
      <c r="R54" s="21"/>
      <c r="S54" s="21"/>
      <c r="T54" s="21" t="inlineStr">
        <is>
          <t xml:space="preserve">13/06/2026</t>
        </is>
      </c>
      <c r="U54" s="21" t="inlineStr">
        <is>
          <t xml:space="preserve">15/07/2026</t>
        </is>
      </c>
      <c r="V54" s="22" t="inlineStr">
        <is>
          <t xml:space="preserve">Bungalow LAND 6,500sf @ RM865psf (RM5,622,500). ✅ Offer letter signed + earnest deposit collected. Next: SPA → completion. Co-broke 50/50 Caydence, Spencer share RM56,225. SPA SIGNED 08/07; pending cheque clearance then lawyers (vendor lawyer Aisyah); OCBC loan (banker Eric) pending.</t>
        </is>
      </c>
      <c r="W54" s="22"/>
      <c r="X54" s="22" t="inlineStr">
        <is>
          <t xml:space="preserve">Purchaser / Land</t>
        </is>
      </c>
    </row>
    <row r="55" ht="15.75" customHeight="1">
      <c r="A55" s="21" t="inlineStr">
        <is>
          <t xml:space="preserve">L061</t>
        </is>
      </c>
      <c r="B55" s="22" t="inlineStr">
        <is>
          <t xml:space="preserve">Nas (Kenangan Coffee)</t>
        </is>
      </c>
      <c r="C55" s="22" t="inlineStr">
        <is>
          <t xml:space="preserve">Malaysian</t>
        </is>
      </c>
      <c r="D55" s="21" t="inlineStr">
        <is>
          <t xml:space="preserve">Malay, English</t>
        </is>
      </c>
      <c r="E55" s="22" t="inlineStr">
        <is>
          <t xml:space="preserve">+60194707037</t>
        </is>
      </c>
      <c r="F55" s="22"/>
      <c r="G55" s="22" t="inlineStr">
        <is>
          <t xml:space="preserve">WhatsApp</t>
        </is>
      </c>
      <c r="H55" s="22" t="inlineStr">
        <is>
          <t xml:space="preserve">iProperty</t>
        </is>
      </c>
      <c r="I55" s="22" t="inlineStr">
        <is>
          <t xml:space="preserve">Tenant</t>
        </is>
      </c>
      <c r="J55" s="22" t="inlineStr">
        <is>
          <t xml:space="preserve">Rented — pending offer letter</t>
        </is>
      </c>
      <c r="K55" s="21"/>
      <c r="L55" s="22" t="inlineStr">
        <is>
          <t xml:space="preserve">Setapak</t>
        </is>
      </c>
      <c r="M55" s="21">
        <v>8500</v>
      </c>
      <c r="N55" s="21"/>
      <c r="O55" s="22" t="inlineStr">
        <is>
          <t xml:space="preserve">Commercial Shoplot</t>
        </is>
      </c>
      <c r="P55" s="22" t="inlineStr">
        <is>
          <t xml:space="preserve">KLTS Setapak</t>
        </is>
      </c>
      <c r="Q55" s="22" t="inlineStr">
        <is>
          <t xml:space="preserve">51-G-1</t>
        </is>
      </c>
      <c r="R55" s="21"/>
      <c r="S55" s="21"/>
      <c r="T55" s="21" t="inlineStr">
        <is>
          <t xml:space="preserve">16/06/2026</t>
        </is>
      </c>
      <c r="U55" s="21"/>
      <c r="V55" s="22" t="inlineStr">
        <is>
          <t xml:space="preserve">F&amp;B (Kenangan Coffee) — Patrick Chow KLTS Setapak 51-G-1. RM8,500(yr1)/RM9,000(yr2-3), 3+3yrs. Offer letter SIGNED; earnest deposit pending payment.</t>
        </is>
      </c>
      <c r="W55" s="22"/>
      <c r="X55" s="22" t="inlineStr">
        <is>
          <t xml:space="preserve">F&amp;B Tenant</t>
        </is>
      </c>
    </row>
    <row r="56" ht="15.75" customHeight="1">
      <c r="A56" s="21" t="inlineStr">
        <is>
          <t xml:space="preserve">L034</t>
        </is>
      </c>
      <c r="B56" s="22" t="inlineStr">
        <is>
          <t xml:space="preserve">Datuk Francis (seller)</t>
        </is>
      </c>
      <c r="C56" s="22" t="inlineStr">
        <is>
          <t xml:space="preserve">Malaysia</t>
        </is>
      </c>
      <c r="D56" s="21" t="inlineStr">
        <is>
          <t xml:space="preserve">Mandarin</t>
        </is>
      </c>
      <c r="E56" s="22"/>
      <c r="F56" s="22"/>
      <c r="G56" s="22"/>
      <c r="H56" s="22"/>
      <c r="I56" s="22" t="inlineStr">
        <is>
          <t xml:space="preserve">Vendor / Seller</t>
        </is>
      </c>
      <c r="J56" s="22" t="inlineStr">
        <is>
          <t xml:space="preserve">Sold</t>
        </is>
      </c>
      <c r="K56" s="21"/>
      <c r="L56" s="22"/>
      <c r="M56" s="21">
        <v>420000</v>
      </c>
      <c r="N56" s="21"/>
      <c r="O56" s="22" t="inlineStr">
        <is>
          <t xml:space="preserve">Condominium</t>
        </is>
      </c>
      <c r="P56" s="22" t="inlineStr">
        <is>
          <t xml:space="preserve">Mulberi</t>
        </is>
      </c>
      <c r="Q56" s="22" t="inlineStr">
        <is>
          <t xml:space="preserve">13A-02</t>
        </is>
      </c>
      <c r="R56" s="21"/>
      <c r="S56" s="21"/>
      <c r="T56" s="21" t="inlineStr">
        <is>
          <t xml:space="preserve">19/06/2026</t>
        </is>
      </c>
      <c r="U56" s="21"/>
      <c r="V56" s="22" t="inlineStr">
        <is>
          <t xml:space="preserve">Datuk's unit 13A-02 Mulberi SOLD @ RM420,000. Co-broke 50/50 w/ Caydence; Spencer share 1.5% = RM6,300. (13A-03A still listed @ RM420k.)</t>
        </is>
      </c>
      <c r="W56" s="22"/>
      <c r="X56" s="22" t="inlineStr">
        <is>
          <t xml:space="preserve">Vendor / Sale</t>
        </is>
      </c>
    </row>
    <row r="57" ht="15.75" customHeight="1">
      <c r="A57" s="21" t="inlineStr">
        <is>
          <t xml:space="preserve">L062</t>
        </is>
      </c>
      <c r="B57" s="22" t="inlineStr">
        <is>
          <t xml:space="preserve">Stephanie</t>
        </is>
      </c>
      <c r="C57" s="22" t="inlineStr">
        <is>
          <t xml:space="preserve">Malaysian</t>
        </is>
      </c>
      <c r="D57" s="21" t="inlineStr">
        <is>
          <t xml:space="preserve">English, Chinese, Cantonese</t>
        </is>
      </c>
      <c r="E57" s="22" t="inlineStr">
        <is>
          <t xml:space="preserve">+60162212997</t>
        </is>
      </c>
      <c r="F57" s="22"/>
      <c r="G57" s="22"/>
      <c r="H57" s="22"/>
      <c r="I57" s="22" t="inlineStr">
        <is>
          <t xml:space="preserve">Tenant</t>
        </is>
      </c>
      <c r="J57" s="22" t="inlineStr">
        <is>
          <t xml:space="preserve">Rented elsewhere (Arcoris, other agent)</t>
        </is>
      </c>
      <c r="K57" s="21"/>
      <c r="L57" s="22" t="inlineStr">
        <is>
          <t xml:space="preserve">Mont Kiara</t>
        </is>
      </c>
      <c r="M57" s="21"/>
      <c r="N57" s="21"/>
      <c r="O57" s="22" t="inlineStr">
        <is>
          <t xml:space="preserve">Condominium</t>
        </is>
      </c>
      <c r="P57" s="22" t="inlineStr">
        <is>
          <t xml:space="preserve">Arcoris Mont Kiara</t>
        </is>
      </c>
      <c r="Q57" s="22"/>
      <c r="R57" s="21" t="inlineStr">
        <is>
          <t xml:space="preserve">01/09/2026</t>
        </is>
      </c>
      <c r="S57" s="21" t="inlineStr">
        <is>
          <t xml:space="preserve">31/08/2027</t>
        </is>
      </c>
      <c r="T57" s="21" t="inlineStr">
        <is>
          <t xml:space="preserve">07/07/2026</t>
        </is>
      </c>
      <c r="U57" s="21" t="inlineStr">
        <is>
          <t xml:space="preserve">01/06/2027</t>
        </is>
      </c>
      <c r="V57" s="22" t="inlineStr">
        <is>
          <t xml:space="preserve">Rented Arcoris via another agent (01/09/2026-31/08/2027, 1yr). NURTURE — follow up 01/06/2027: renew or new rental? Prefers partly furnished. Husband Japanese.</t>
        </is>
      </c>
      <c r="W57" s="22"/>
      <c r="X57" s="22" t="inlineStr">
        <is>
          <t xml:space="preserve">Tenant / Nurture</t>
        </is>
      </c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10/07/2026</t>
        </is>
      </c>
      <c r="E4" s="17" t="s">
        <v>6</v>
      </c>
      <c r="F4" s="17" t="s">
        <v>32</v>
      </c>
      <c r="G4" s="17" t="inlineStr">
        <is>
          <t xml:space="preserve">Re-engaged — wants to discuss AB-39-02</t>
        </is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09/07: Umesh back (was unwell) — "we need to talk about AB-39-02". Deal reopened.</t>
        </is>
      </c>
      <c r="J4" s="17" t="inlineStr">
        <is>
          <t xml:space="preserve">Call Umesh to discuss AB-39-02; progress offer (open RM4.3m, max RM4.5m vs owner floor RM4.7m; booking form then viewing).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15/07/2026</t>
        </is>
      </c>
      <c r="E5" s="11" t="s">
        <v>6</v>
      </c>
      <c r="F5" s="11" t="s">
        <v>32</v>
      </c>
      <c r="G5" s="11" t="inlineStr">
        <is>
          <t xml:space="preserve">SPA SIGNED — pending cheque clearance &amp; loan</t>
        </is>
      </c>
      <c r="H5" s="12" t="inlineStr">
        <is>
          <t xml:space="preserve">Prefers bungalow LAND to build. 11/06 (Thu): 4pm 119 Sunway Kiara Hills (RM4.5m, Yuan Ling); 4:30pm Hartamas Hts land 6,500sf RM6.18m (Caydence); 5pm Hartamas Hts land 9,791sf RM9.3m &amp; 12,200sf RM10.5m (Joel Loke); 5:15pm Hartamas Hts land 17,997sf RM11m (Kelvin Moh); 5:30pm Hartamas Hts bungalow B/U 15,127sf RM18m (Teoh). Keen on Laman Setiakasih 8 (RM9.2m).</t>
        </is>
      </c>
      <c r="I5" s="12" t="inlineStr">
        <is>
          <t xml:space="preserve">Hartamas Heights SPA SIGNED 08/07. Pending cheque clearance, then buyer lawyer sends SPA to vendor lawyer (Aisyah). Pending OCBC banker Eric for Loan Agreement.</t>
        </is>
      </c>
      <c r="J5" s="11" t="inlineStr">
        <is>
          <t xml:space="preserve">Chase cheque clearance + Loan Agreement (Eric, OCBC); track SPA to vendor lawyer Aisyah. Hold share RM56,225.</t>
        </is>
      </c>
      <c r="K5" s="11" t="inlineStr">
        <is>
          <t xml:space="preserve">SPA signed 08/07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 xml:space="preserve">Property: Lot 58629, No. 21 Hartamas Heights land (6,500sf). Co-agent Caydence (co-broke 50/50).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10/08/2026</t>
        </is>
      </c>
      <c r="E7" s="17" t="s">
        <v>6</v>
      </c>
      <c r="F7" s="17" t="s">
        <v>32</v>
      </c>
      <c r="G7" s="17" t="inlineStr">
        <is>
          <t xml:space="preserve">Interested C-23-01 (paused) — Germany 1mo</t>
        </is>
      </c>
      <c r="H7" s="18" t="inlineStr">
        <is>
          <t xml:space="preserve">Viewing (Wed): 10am C-8-2 Hijauan Kiara; 10:30am Trinity Pentamont (RM1.75m Lvl2). Open balcony.</t>
        </is>
      </c>
      <c r="I7" s="34" t="inlineStr">
        <is>
          <t xml:space="preserve">Viewed 08/07: keen on C-23-01 but declined further action as could not speak to owner. Back in Germany 1 month from 08/07.</t>
        </is>
      </c>
      <c r="J7" s="17" t="inlineStr">
        <is>
          <t xml:space="preserve">Re-engage mid-Aug when back; revisit C-23-01 via owner-led negotiation.</t>
        </is>
      </c>
      <c r="K7" s="35" t="inlineStr">
        <is>
          <t xml:space="preserve">C-23-01 interest (paused)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10/08/2026</t>
        </is>
      </c>
      <c r="E8" s="17" t="s">
        <v>6</v>
      </c>
      <c r="F8" s="17" t="s">
        <v>32</v>
      </c>
      <c r="G8" s="17" t="inlineStr">
        <is>
          <t xml:space="preserve">Interested C-23-01 (paused) — Germany 1mo</t>
        </is>
      </c>
      <c r="H8" s="18" t="inlineStr">
        <is>
          <t xml:space="preserve">Viewing (Wed): 10am C-8-2 Hijauan Kiara; 10:30am Trinity Pentamont (RM1.75m Lvl2). Open balcony.</t>
        </is>
      </c>
      <c r="I8" s="34" t="inlineStr">
        <is>
          <t xml:space="preserve">Viewed 08/07: keen on C-23-01 but declined further action as could not speak to owner. Back in Germany 1 month from 08/07.</t>
        </is>
      </c>
      <c r="J8" s="17" t="inlineStr">
        <is>
          <t xml:space="preserve">Re-engage mid-Aug when back; revisit C-23-01 via owner-led negotiation.</t>
        </is>
      </c>
      <c r="K8" s="35" t="inlineStr">
        <is>
          <t xml:space="preserve">C-23-01 interest (paused)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inlineStr">
        <is>
          <t xml:space="preserve">15/07/2026</t>
        </is>
      </c>
      <c r="E9" s="17" t="s">
        <v>82</v>
      </c>
      <c r="F9" s="17" t="inlineStr">
        <is>
          <t xml:space="preserve">Hot 🔥</t>
        </is>
      </c>
      <c r="G9" s="17" t="inlineStr">
        <is>
          <t xml:space="preserve">Active — interested Allevia; scheduling viewing</t>
        </is>
      </c>
      <c r="H9" s="18" t="inlineStr">
        <is>
          <t xml:space="preserve">Interested Allevia 1,757sf (A-08-01) &amp; 1,971sf. In KL week of 16/07; viewing 17 or 18/07.</t>
        </is>
      </c>
      <c r="I9" s="18" t="inlineStr">
        <is>
          <t xml:space="preserve">Came back — interested in Allevia (1,757 &amp; 1,971sf). Travelling to KL 16/07 week.</t>
        </is>
      </c>
      <c r="J9" s="17" t="inlineStr">
        <is>
          <t xml:space="preserve">Confirm Allevia units (A-08-01 + a 1,971sf) &amp; lock viewing 17/18-07 closer to trip.</t>
        </is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inlineStr">
        <is>
          <t xml:space="preserve">KLTS Setapak 51-G-1 vacant — find tenant (Cotti Coffee breached)</t>
        </is>
      </c>
      <c r="I10" s="18" t="inlineStr">
        <is>
          <t xml:space="preserve">KLTS Setapak 51-G-1 marketed 09/06. Nas (Kenangan Coffee) placed offer.</t>
        </is>
      </c>
      <c r="J10" s="17" t="inlineStr">
        <is>
          <t xml:space="preserve">Negotiate Nas/Kenangan offer (free-reno gap: 15 days offered vs 1 mth requested); close tenancy.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inlineStr">
        <is>
          <t xml:space="preserve">13/07/2026</t>
        </is>
      </c>
      <c r="E11" s="17" t="s">
        <v>6</v>
      </c>
      <c r="F11" s="17" t="s">
        <v>32</v>
      </c>
      <c r="G11" s="17" t="inlineStr">
        <is>
          <t xml:space="preserve">Tenant out — arranging viewings</t>
        </is>
      </c>
      <c r="H11" s="18" t="inlineStr">
        <is>
          <t xml:space="preserve">Astrea 30-06 re-let — 1,364sf @ RM6,000/mo. Kim Jungju checks out 30/06 9:30am.</t>
        </is>
      </c>
      <c r="I11" s="18" t="inlineStr">
        <is>
          <t xml:space="preserve">Astrea 30-06 marketed since last month; 5 viewings so far, none interested yet.</t>
        </is>
      </c>
      <c r="J11" s="17" t="inlineStr">
        <is>
          <t xml:space="preserve">Continue marketing @ RM6,000/mo; keep generating viewings.</t>
        </is>
      </c>
      <c r="K11" s="17" t="inlineStr">
        <is>
          <t xml:space="preserve">Tenant checked out — unit available</t>
        </is>
      </c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13/06/2026</t>
        </is>
      </c>
      <c r="E12" s="17" t="s">
        <v>6</v>
      </c>
      <c r="F12" s="17" t="s">
        <v>32</v>
      </c>
      <c r="G12" s="17" t="inlineStr">
        <is>
          <t xml:space="preserve">✅ Closed — moved to Done Deals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Submitted offer RM4,800/mo to landlord agent JY Kam 11/06; pending revert. (AmanAra Residence, Bandar Utama.)</t>
        </is>
      </c>
      <c r="J12" s="17" t="inlineStr">
        <is>
          <t xml:space="preserve">Await landlord revert on RM4,800 offer; negotiate via JY Kam.</t>
        </is>
      </c>
      <c r="K12" s="17"/>
      <c r="L12" s="17" t="s">
        <v>591</v>
      </c>
      <c r="M12" s="17" t="s">
        <v>27</v>
      </c>
      <c r="N12" s="17" t="inlineStr">
        <is>
          <t xml:space="preserve">✓</t>
        </is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inlineStr">
        <is>
          <t xml:space="preserve">10/07/2026</t>
        </is>
      </c>
      <c r="E13" s="17" t="s">
        <v>6</v>
      </c>
      <c r="F13" s="17" t="inlineStr">
        <is>
          <t xml:space="preserve">Hot 🔥</t>
        </is>
      </c>
      <c r="G13" s="17" t="inlineStr">
        <is>
          <t xml:space="preserve">Staying till tenancy end — water heater issue</t>
        </is>
      </c>
      <c r="H13" s="18" t="inlineStr">
        <is>
          <t xml:space="preserve">Astrea 09-3A tenant. Frustrated w/ unit issues; likely staying till tenancy ends.</t>
        </is>
      </c>
      <c r="I13" s="34" t="inlineStr">
        <is>
          <t xml:space="preserve">Reply sent 08/07. Likely staying till tenancy end. New water heater needed.</t>
        </is>
      </c>
      <c r="J13" s="17" t="inlineStr">
        <is>
          <t xml:space="preserve">Follow up Safwan (contractor) for new water heater quote; raise mgmt complaint re car/cone.</t>
        </is>
      </c>
      <c r="K13" s="17"/>
      <c r="L13" s="17" t="s">
        <v>593</v>
      </c>
      <c r="M13" s="17" t="s">
        <v>51</v>
      </c>
      <c r="N13" s="17" t="inlineStr">
        <is>
          <t xml:space="preserve">☐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(rent RM9,500 / sale RM2.3m). B-22-01 let by another agent (Nick Lu) 15/06. MATCHED prospect: Aaron (L063) for B-29-01 rent — arranging viewing. Aaron viewing B-29-01 07/07 (Tue) 2pm.</t>
        </is>
      </c>
      <c r="J16" s="17" t="inlineStr">
        <is>
          <t xml:space="preserve">Host Aaron viewing 07/07 2pm; close rental (RM9,500).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16/07/2026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Proposed prospect — pending owner acceptance</t>
        </is>
      </c>
      <c r="H17" s="18" t="inlineStr">
        <is>
          <t xml:space="preserve">Astrea MK 12-07 — master rental listing @ RM7,500/mo (owner Ms Norain)</t>
        </is>
      </c>
      <c r="I17" s="18" t="inlineStr">
        <is>
          <t xml:space="preserve">No potential tenant she would accept yet.</t>
        </is>
      </c>
      <c r="J17" s="17" t="inlineStr">
        <is>
          <t xml:space="preserve">Continue sourcing acceptable tenant for Astrea 12-07 @ RM7,500/mo.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Tenant prospect: Ms Yoon (Korean). Co-agent (tenant side): Kenie Yow.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Removed — not pursuing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✓</t>
        </is>
      </c>
      <c r="O18" s="17" t="inlineStr">
        <is>
          <t xml:space="preserve">Plans to move in Aug 2026; observing weekday foot traffic (Mon) — follow up Tue.</t>
        </is>
      </c>
    </row>
    <row r="19" ht="22.5" customHeight="1">
      <c r="A19" s="17" t="inlineStr">
        <is>
          <t xml:space="preserve">L061</t>
        </is>
      </c>
      <c r="B19" s="18" t="inlineStr">
        <is>
          <t xml:space="preserve">Nas (Kenangan Coffee)</t>
        </is>
      </c>
      <c r="C19" s="17" t="inlineStr">
        <is>
          <t xml:space="preserve">Malaysian</t>
        </is>
      </c>
      <c r="D19" s="17" t="inlineStr">
        <is>
          <t xml:space="preserve">10/07/2026</t>
        </is>
      </c>
      <c r="E19" s="17" t="inlineStr">
        <is>
          <t xml:space="preserve">WhatsApp</t>
        </is>
      </c>
      <c r="F19" s="17" t="inlineStr">
        <is>
          <t xml:space="preserve">Hot 🔥</t>
        </is>
      </c>
      <c r="G19" s="17" t="inlineStr">
        <is>
          <t xml:space="preserve">TA amendment sent — meeting Patrick 10/07</t>
        </is>
      </c>
      <c r="H19" s="18" t="inlineStr">
        <is>
          <t xml:space="preserve">KLTS Setapak 51-G-1 (Patrick Chow) — offer RM8,500(yr1)/RM9,000(yr2-3), 3+3yrs</t>
        </is>
      </c>
      <c r="I19" s="18" t="inlineStr">
        <is>
          <t xml:space="preserve">Proposal TA amendment sent &amp; shared with Patrick (landlord).</t>
        </is>
      </c>
      <c r="J19" s="17" t="inlineStr">
        <is>
          <t xml:space="preserve">Meet Patrick 10/07 10am re TA amendment; finalise &amp; collect deposit.</t>
        </is>
      </c>
      <c r="K19" s="17" t="inlineStr">
        <is>
          <t xml:space="preserve">10/07/2026 (Fri) 10am — meet Patrick re TA amendment</t>
        </is>
      </c>
      <c r="L19" s="17"/>
      <c r="M19" s="17" t="inlineStr">
        <is>
          <t xml:space="preserve">Malay, English</t>
        </is>
      </c>
      <c r="N19" s="17" t="inlineStr">
        <is>
          <t xml:space="preserve">☐</t>
        </is>
      </c>
      <c r="O19" s="17" t="inlineStr">
        <is>
          <t xml:space="preserve">For Patrick Chow's KLTS Gombak vacancy (L005).</t>
        </is>
      </c>
    </row>
    <row r="20" ht="22.5" customHeight="1">
      <c r="A20" s="17" t="inlineStr">
        <is>
          <t xml:space="preserve">L062</t>
        </is>
      </c>
      <c r="B20" s="18" t="inlineStr">
        <is>
          <t xml:space="preserve">Stephanie</t>
        </is>
      </c>
      <c r="C20" s="17" t="inlineStr">
        <is>
          <t xml:space="preserve">Malaysian</t>
        </is>
      </c>
      <c r="D20" s="17" t="inlineStr">
        <is>
          <t xml:space="preserve">01/06/2027</t>
        </is>
      </c>
      <c r="E20" s="17" t="inlineStr">
        <is>
          <t xml:space="preserve">WhatsApp</t>
        </is>
      </c>
      <c r="F20" s="17" t="inlineStr">
        <is>
          <t xml:space="preserve">Cold ❄️</t>
        </is>
      </c>
      <c r="G20" s="17" t="inlineStr">
        <is>
          <t xml:space="preserve">Rented elsewhere (Arcoris) — nurture</t>
        </is>
      </c>
      <c r="H20" s="18" t="inlineStr">
        <is>
          <t xml:space="preserve">Rented Arcoris via another agent (01/09/2026-31/08/2027).</t>
        </is>
      </c>
      <c r="I20" s="18" t="inlineStr">
        <is>
          <t xml:space="preserve">Rented Arcoris (other agent) — not our deal.</t>
        </is>
      </c>
      <c r="J20" s="17" t="inlineStr">
        <is>
          <t xml:space="preserve">Follow up 01/06/2027: renew or new rental?</t>
        </is>
      </c>
      <c r="K20" s="17" t="inlineStr">
        <is>
          <t xml:space="preserve">22/06/2026 (Mon) 10am — Ooak Suites showing</t>
        </is>
      </c>
      <c r="L20" s="17"/>
      <c r="M20" s="17" t="inlineStr">
        <is>
          <t xml:space="preserve">English, Chinese, Cantonese</t>
        </is>
      </c>
      <c r="N20" s="17" t="inlineStr">
        <is>
          <t xml:space="preserve">☐</t>
        </is>
      </c>
      <c r="O20" s="17" t="inlineStr">
        <is>
          <t xml:space="preserve">Prefers partly furnished (not fully furnished).</t>
        </is>
      </c>
    </row>
    <row r="21" ht="22.5" customHeight="1">
      <c r="A21" s="17" t="inlineStr">
        <is>
          <t xml:space="preserve">L063</t>
        </is>
      </c>
      <c r="B21" s="18" t="inlineStr">
        <is>
          <t xml:space="preserve">Aaron</t>
        </is>
      </c>
      <c r="C21" s="17" t="inlineStr">
        <is>
          <t xml:space="preserve">Malaysian</t>
        </is>
      </c>
      <c r="D21" s="17" t="inlineStr">
        <is>
          <t xml:space="preserve">10/07/2026</t>
        </is>
      </c>
      <c r="E21" s="17" t="inlineStr">
        <is>
          <t xml:space="preserve">WhatsApp</t>
        </is>
      </c>
      <c r="F21" s="17" t="inlineStr">
        <is>
          <t xml:space="preserve">Hot 🔥</t>
        </is>
      </c>
      <c r="G21" s="17" t="inlineStr">
        <is>
          <t xml:space="preserve">Viewing Pavilion DH 10/07</t>
        </is>
      </c>
      <c r="H21" s="18" t="inlineStr">
        <is>
          <t xml:space="preserve">Viewing Pavilion Damansara Heights 10/07 (Fri) 2pm — 1,878sf RM15k; 2,303sf RM15k; 2,803sf RM22k (all PF).</t>
        </is>
      </c>
      <c r="I21" s="18" t="inlineStr">
        <is>
          <t xml:space="preserve">Now looking Pavilion DH (budget flexed up). Viewing 10/07 2pm. Allevia B-29-01 not proceeded.</t>
        </is>
      </c>
      <c r="J21" s="17" t="inlineStr">
        <is>
          <t xml:space="preserve">Attend Pavilion DH viewing 10/07 2pm; gauge interest &amp; negotiate.</t>
        </is>
      </c>
      <c r="K21" s="17" t="inlineStr">
        <is>
          <t xml:space="preserve">10/07/2026 (Fri) 2pm — Pavilion Damansara Heights (3 units)</t>
        </is>
      </c>
      <c r="L21" s="17"/>
      <c r="M21" s="17" t="inlineStr">
        <is>
          <t xml:space="preserve">English</t>
        </is>
      </c>
      <c r="N21" s="17" t="inlineStr">
        <is>
          <t xml:space="preserve">☐</t>
        </is>
      </c>
      <c r="O21" s="17" t="inlineStr">
        <is>
          <t xml:space="preserve">Also owner of Allevia A-29-02 — potential listing.</t>
        </is>
      </c>
    </row>
    <row r="22" ht="22.5" customHeight="1">
      <c r="A22" s="17" t="inlineStr">
        <is>
          <t xml:space="preserve">L064</t>
        </is>
      </c>
      <c r="B22" s="18" t="inlineStr">
        <is>
          <t xml:space="preserve">Eleena</t>
        </is>
      </c>
      <c r="C22" s="17" t="inlineStr">
        <is>
          <t xml:space="preserve">Malaysian</t>
        </is>
      </c>
      <c r="D22" s="17" t="inlineStr">
        <is>
          <t xml:space="preserve">15/12/2026</t>
        </is>
      </c>
      <c r="E22" s="17" t="inlineStr">
        <is>
          <t xml:space="preserve">WhatsApp</t>
        </is>
      </c>
      <c r="F22" s="17" t="inlineStr">
        <is>
          <t xml:space="preserve">Cold ❄️</t>
        </is>
      </c>
      <c r="G22" s="17" t="inlineStr">
        <is>
          <t xml:space="preserve">KIV — decide Jan 2027</t>
        </is>
      </c>
      <c r="H22" s="18" t="inlineStr">
        <is>
          <t xml:space="preserve">Office lot (1 unit) Plaza MK Tower A — 500–800sf, RM2,500–3,000/mo, 2yr</t>
        </is>
      </c>
      <c r="I22" s="18" t="inlineStr">
        <is>
          <t xml:space="preserve">KIV; will only decide Jan 2027.</t>
        </is>
      </c>
      <c r="J22" s="17" t="inlineStr">
        <is>
          <t xml:space="preserve">Re-engage Dec 2026 for Jan 2027 decision.</t>
        </is>
      </c>
      <c r="K22" s="17" t="inlineStr">
        <is>
          <t xml:space="preserve">16/06/2026 (Tue) 2pm Block B; 2:30pm Block E</t>
        </is>
      </c>
      <c r="L22" s="17"/>
      <c r="M22" s="17" t="inlineStr">
        <is>
          <t xml:space="preserve">Malay, English</t>
        </is>
      </c>
      <c r="N22" s="17" t="inlineStr">
        <is>
          <t xml:space="preserve">☐</t>
        </is>
      </c>
      <c r="O22" s="17" t="inlineStr">
        <is>
          <t xml:space="preserve">Co-agents: Sherena Loh +60126328583 (Block B); Kate +60122178588 (Block E).</t>
        </is>
      </c>
    </row>
    <row r="23" ht="22.5" customHeight="1">
      <c r="A23" s="17" t="inlineStr">
        <is>
          <t xml:space="preserve">L065</t>
        </is>
      </c>
      <c r="B23" s="18" t="inlineStr">
        <is>
          <t xml:space="preserve">Jackie's Client (Japanese)</t>
        </is>
      </c>
      <c r="C23" s="17" t="inlineStr">
        <is>
          <t xml:space="preserve">Japanese</t>
        </is>
      </c>
      <c r="D23" s="17" t="inlineStr">
        <is>
          <t xml:space="preserve">10/07/2026</t>
        </is>
      </c>
      <c r="E23" s="17" t="inlineStr">
        <is>
          <t xml:space="preserve">Co-agent Jackie</t>
        </is>
      </c>
      <c r="F23" s="17" t="inlineStr">
        <is>
          <t xml:space="preserve">Hot 🔥</t>
        </is>
      </c>
      <c r="G23" s="17" t="inlineStr">
        <is>
          <t xml:space="preserve">Viewed 06/07 — interested Kiaraville</t>
        </is>
      </c>
      <c r="H23" s="18" t="inlineStr">
        <is>
          <t xml:space="preserve">Viewing 06/07 (Mon): 21-06 Astrea RM1.45m &amp; B-6-1 Kiaraville RM1.47m. Budget RM1.5m.</t>
        </is>
      </c>
      <c r="I23" s="18" t="inlineStr">
        <is>
          <t xml:space="preserve">Viewed 06/07: quite interested in Kiaraville B-6-1 (RM1.47m). Astrea 21-06 less so.</t>
        </is>
      </c>
      <c r="J23" s="17" t="inlineStr">
        <is>
          <t xml:space="preserve">Follow up 10/07 — push Kiaraville B-6-1 offer (per Jackie).</t>
        </is>
      </c>
      <c r="K23" s="17" t="inlineStr">
        <is>
          <t xml:space="preserve">06/07/2026 (Mon) — Astrea 21-06 &amp; Kiaraville B-6-1</t>
        </is>
      </c>
      <c r="L23" s="17"/>
      <c r="M23" s="17" t="inlineStr">
        <is>
          <t xml:space="preserve">Japanese / English</t>
        </is>
      </c>
      <c r="N23" s="17" t="inlineStr">
        <is>
          <t xml:space="preserve">☐</t>
        </is>
      </c>
      <c r="O23" s="17" t="inlineStr">
        <is>
          <t xml:space="preserve">Co-agent: Jackie.</t>
        </is>
      </c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inlineStr">
        <is>
          <t xml:space="preserve">Hartamas Hts land — Lot 58629, No.21 (6,500sf)</t>
        </is>
      </c>
      <c r="E4" s="11" t="inlineStr">
        <is>
          <t xml:space="preserve">Hartamas Heights</t>
        </is>
      </c>
      <c r="F4" s="11" t="s">
        <v>631</v>
      </c>
      <c r="G4" s="11" t="inlineStr">
        <is>
          <t xml:space="preserve">SPA SIGNED — pending completion</t>
        </is>
      </c>
      <c r="H4" s="36">
        <v>5622500</v>
      </c>
      <c r="I4" s="51">
        <v>0.01</v>
      </c>
      <c r="J4" s="38">
        <f t="shared" ref="J4:J8" si="1">H4*I4</f>
        <v>56225</v>
      </c>
      <c r="K4" s="11" t="inlineStr">
        <is>
          <t xml:space="preserve">18/06/2026</t>
        </is>
      </c>
      <c r="L4" s="11"/>
      <c r="M4" s="11"/>
      <c r="N4" s="11"/>
      <c r="O4" s="12" t="inlineStr">
        <is>
          <t xml:space="preserve">✅ OFFER LETTER SIGNED + earnest deposit cheque collected. 6,500sf Hartamas Heights land @ RM865psf (RM5,622,500). Next: SPA → completion. Co-broke 50/50 Caydence; Spencer share RM56,225.</t>
        </is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inlineStr">
        <is>
          <t xml:space="preserve">Hijauan Kiara / Trinity Pentamont</t>
        </is>
      </c>
      <c r="E6" s="42" t="s">
        <v>56</v>
      </c>
      <c r="F6" s="42" t="s">
        <v>631</v>
      </c>
      <c r="G6" s="42" t="inlineStr">
        <is>
          <t xml:space="preserve">Viewing / Shortlisting</t>
        </is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inlineStr">
        <is>
          <t xml:space="preserve">German cash buyer (own stay then rent). Prefer Hijauan Kiara + Trinity Pentamont (RM1.75m Lvl 2, below mkt, iProperty — keen to view). Open balcony only.</t>
        </is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inlineStr">
        <is>
          <t xml:space="preserve">Viewing 17/18-07 — Allevia (1,757/1,971sf)</t>
        </is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4500000</v>
      </c>
      <c r="I8" s="51">
        <v>0.015</v>
      </c>
      <c r="J8" s="52">
        <f t="shared" si="1"/>
        <v>67500</v>
      </c>
      <c r="K8" s="8"/>
      <c r="L8" s="8"/>
      <c r="M8" s="8"/>
      <c r="N8" s="8"/>
      <c r="O8" s="9" t="inlineStr">
        <is>
          <t xml:space="preserve">Umesh MAX RM4.5m (opening RM4.3m), AB-39-02 MK 10. Owner floor RM4.7m. 3% comm CO-BROKE 50/50 -&gt; Spencer share 1.5% (RM67,500 @ RM4.5m). Loan buyer, 70% margin. May stretch if he loves it post-viewing. Booking form first (no payment), viewing after.</t>
        </is>
      </c>
    </row>
    <row r="9" ht="32.25" customHeight="1">
      <c r="A9" s="8" t="inlineStr">
        <is>
          <t xml:space="preserve">D008</t>
        </is>
      </c>
      <c r="B9" s="9" t="inlineStr">
        <is>
          <t xml:space="preserve">Nas (Kenangan Coffee)</t>
        </is>
      </c>
      <c r="C9" s="8" t="inlineStr">
        <is>
          <t xml:space="preserve">Malaysia</t>
        </is>
      </c>
      <c r="D9" s="9" t="inlineStr">
        <is>
          <t xml:space="preserve">KLTS Setapak 51-G-1 (Patrick Chow)</t>
        </is>
      </c>
      <c r="E9" s="8" t="inlineStr">
        <is>
          <t xml:space="preserve">Gombak</t>
        </is>
      </c>
      <c r="F9" s="8" t="inlineStr">
        <is>
          <t xml:space="preserve">Rental</t>
        </is>
      </c>
      <c r="G9" s="8" t="inlineStr">
        <is>
          <t xml:space="preserve">Offer letter signed — deposit pending</t>
        </is>
      </c>
      <c r="H9" s="50">
        <v>8500</v>
      </c>
      <c r="I9" s="51"/>
      <c r="J9" s="52">
        <v>8500</v>
      </c>
      <c r="K9" s="8"/>
      <c r="L9" s="8"/>
      <c r="M9" s="8"/>
      <c r="N9" s="8"/>
      <c r="O9" s="9" t="inlineStr">
        <is>
          <t xml:space="preserve">✅ CLOSED. Kenangan Coffee tenant for Patrick Chow KLTS Setapak 51-G-1. RM8,500(yr1)/RM9,000(yr2-3), 3+3yrs. Pending sign offer letter &amp; collect earnest deposit. Comm = 1 mth rent.</t>
        </is>
      </c>
    </row>
    <row r="10" ht="32.25" customHeight="1">
      <c r="A10" s="8" t="inlineStr">
        <is>
          <t xml:space="preserve">D010</t>
        </is>
      </c>
      <c r="B10" s="9" t="inlineStr">
        <is>
          <t xml:space="preserve">Aaron</t>
        </is>
      </c>
      <c r="C10" s="8" t="inlineStr">
        <is>
          <t xml:space="preserve">Malaysia</t>
        </is>
      </c>
      <c r="D10" s="9" t="inlineStr">
        <is>
          <t xml:space="preserve">Pavilion Damansara Heights (viewing 10/07)</t>
        </is>
      </c>
      <c r="E10" s="8" t="inlineStr">
        <is>
          <t xml:space="preserve">Mont Kiara</t>
        </is>
      </c>
      <c r="F10" s="8" t="inlineStr">
        <is>
          <t xml:space="preserve">Rental</t>
        </is>
      </c>
      <c r="G10" s="8" t="inlineStr">
        <is>
          <t xml:space="preserve">Viewing 10/07 2pm</t>
        </is>
      </c>
      <c r="H10" s="50">
        <v>15000</v>
      </c>
      <c r="I10" s="51"/>
      <c r="J10" s="52">
        <v>15000</v>
      </c>
      <c r="K10" s="8"/>
      <c r="L10" s="8"/>
      <c r="M10" s="8"/>
      <c r="N10" s="8"/>
      <c r="O10" s="9" t="inlineStr">
        <is>
          <t xml:space="preserve">Aaron viewing Pavilion DH 10/07 (RM15-22k PF). Est on entry RM15k; confirm unit + comm split on close. Allevia B-29-01 not proceeded.</t>
        </is>
      </c>
    </row>
    <row r="11" ht="32.25" customHeight="1">
      <c r="A11" s="8" t="inlineStr">
        <is>
          <t xml:space="preserve">D011</t>
        </is>
      </c>
      <c r="B11" s="9" t="inlineStr">
        <is>
          <t xml:space="preserve">Eleena</t>
        </is>
      </c>
      <c r="C11" s="8" t="inlineStr">
        <is>
          <t xml:space="preserve">Malaysia</t>
        </is>
      </c>
      <c r="D11" s="9" t="inlineStr">
        <is>
          <t xml:space="preserve">Plaza Mont Kiara Tower A (1 office lot)</t>
        </is>
      </c>
      <c r="E11" s="8" t="inlineStr">
        <is>
          <t xml:space="preserve">Mont Kiara</t>
        </is>
      </c>
      <c r="F11" s="8" t="inlineStr">
        <is>
          <t xml:space="preserve">Rental</t>
        </is>
      </c>
      <c r="G11" s="8" t="inlineStr">
        <is>
          <t xml:space="preserve">KIV — Jan 2027 (cold)</t>
        </is>
      </c>
      <c r="H11" s="50">
        <v>2750</v>
      </c>
      <c r="I11" s="51"/>
      <c r="J11" s="52">
        <v>2750</v>
      </c>
      <c r="K11" s="8"/>
      <c r="L11" s="8"/>
      <c r="M11" s="8"/>
      <c r="N11" s="8"/>
      <c r="O11" s="9" t="inlineStr">
        <is>
          <t xml:space="preserve">Law firm — 1 office lot Plaza MK. Viewing 16/06: Block B 750sf RM3k / Block E 800sf RM2.8k. 2yr, move-in Jul/Aug. Comm = 1 mth rent.</t>
        </is>
      </c>
    </row>
    <row r="12" ht="32.25" customHeight="1">
      <c r="A12" s="8" t="inlineStr">
        <is>
          <t xml:space="preserve">D012</t>
        </is>
      </c>
      <c r="B12" s="9" t="inlineStr">
        <is>
          <t xml:space="preserve">Datuk Francis (seller)</t>
        </is>
      </c>
      <c r="C12" s="8" t="inlineStr">
        <is>
          <t xml:space="preserve">Malaysia</t>
        </is>
      </c>
      <c r="D12" s="9" t="inlineStr">
        <is>
          <t xml:space="preserve">Mulberi 13A-02 (Datuk) — SOLD</t>
        </is>
      </c>
      <c r="E12" s="8"/>
      <c r="F12" s="8" t="inlineStr">
        <is>
          <t xml:space="preserve">Sale</t>
        </is>
      </c>
      <c r="G12" s="8" t="inlineStr">
        <is>
          <t xml:space="preserve">✅ SOLD RM420k</t>
        </is>
      </c>
      <c r="H12" s="50">
        <v>420000</v>
      </c>
      <c r="I12" s="51">
        <v>0.015</v>
      </c>
      <c r="J12" s="52">
        <v>6300</v>
      </c>
      <c r="K12" s="8"/>
      <c r="L12" s="8"/>
      <c r="M12" s="8"/>
      <c r="N12" s="8"/>
      <c r="O12" s="9" t="inlineStr">
        <is>
          <t xml:space="preserve">✅ SOLD: Datuk's 13A-02 Mulberi @ RM420,000. Co-broke 50/50 w/ Caydence; Spencer share 1.5% = RM6,300. 13A-03A still listed @ RM420k.</t>
        </is>
      </c>
    </row>
    <row r="13" ht="32.25" customHeight="1">
      <c r="A13" s="8" t="inlineStr">
        <is>
          <t xml:space="preserve">D013</t>
        </is>
      </c>
      <c r="B13" s="9" t="inlineStr">
        <is>
          <t xml:space="preserve">Jackie's Client (Japanese)</t>
        </is>
      </c>
      <c r="C13" s="8" t="inlineStr">
        <is>
          <t xml:space="preserve">Japanese</t>
        </is>
      </c>
      <c r="D13" s="9" t="inlineStr">
        <is>
          <t xml:space="preserve">Kiaraville B-6-1</t>
        </is>
      </c>
      <c r="E13" s="8" t="inlineStr">
        <is>
          <t xml:space="preserve">Mont Kiara</t>
        </is>
      </c>
      <c r="F13" s="8" t="inlineStr">
        <is>
          <t xml:space="preserve">Sale</t>
        </is>
      </c>
      <c r="G13" s="8" t="inlineStr">
        <is>
          <t xml:space="preserve">Interested — push offer</t>
        </is>
      </c>
      <c r="H13" s="50">
        <v>1470000</v>
      </c>
      <c r="I13" s="51">
        <v>0.015</v>
      </c>
      <c r="J13" s="52">
        <v>22050</v>
      </c>
      <c r="K13" s="8"/>
      <c r="L13" s="8"/>
      <c r="M13" s="8"/>
      <c r="N13" s="8"/>
      <c r="O13" s="9" t="inlineStr">
        <is>
          <t xml:space="preserve">Japanese buyer via co-agent Jackie; interested Kiaraville B-6-1 (RM1.47m). 3% comm co-broke 50/50 -&gt; Spencer share 1.5% = RM22,050.</t>
        </is>
      </c>
    </row>
    <row r="14">
      <c r="A14" s="53" t="inlineStr">
        <is>
          <t xml:space="preserve">TOTAL ESTIMATED COMMISSION (if all close)</t>
        </is>
      </c>
      <c r="B14" s="54"/>
      <c r="C14" s="54"/>
      <c r="D14" s="54"/>
      <c r="E14" s="54"/>
      <c r="F14" s="54"/>
      <c r="G14" s="54"/>
      <c r="H14" s="54"/>
      <c r="I14" s="55"/>
      <c r="J14" s="56">
        <f>SUM(J4:J13)</f>
        <v>294325</v>
      </c>
      <c r="K14" s="57"/>
      <c r="L14" s="57"/>
      <c r="M14" s="57"/>
      <c r="N14" s="57"/>
      <c r="O14" s="57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14:I14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64</t>
        </is>
      </c>
      <c r="B5" s="55"/>
      <c r="C5" s="25"/>
      <c r="D5" s="61" t="inlineStr">
        <is>
          <t>12</t>
        </is>
      </c>
      <c r="E5" s="55"/>
      <c r="F5" s="25"/>
      <c r="G5" s="61" t="inlineStr">
        <is>
          <t>53</t>
        </is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inlineStr">
        <is>
          <t xml:space="preserve">RM 16.5mil</t>
        </is>
      </c>
      <c r="E9" s="55"/>
      <c r="F9" s="25"/>
      <c r="G9" s="61" t="inlineStr">
        <is>
          <t xml:space="preserve">RM 294k</t>
        </is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inlineStr">
        <is>
          <t xml:space="preserve">10 active deals · 7 sale + 3 rent</t>
        </is>
      </c>
      <c r="E10" s="55"/>
      <c r="F10" s="25"/>
      <c r="G10" s="62" t="inlineStr">
        <is>
          <t xml:space="preserve">if all 10 close (incl 3 rentals)</t>
        </is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inlineStr">
        <is>
          <t xml:space="preserve">✅ WON — Datuk Francis Hartamas 6,500sf land RM5.6225m (co-broke 50/50 w/ Caydence, Spencer share RM56.2k); sign 15/06. Drive to SPA.</t>
        </is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