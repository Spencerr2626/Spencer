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<sst xmlns="http://schemas.openxmlformats.org/spreadsheetml/2006/main" count="1559" uniqueCount="720">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</sst>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inlineStr">
        <is>
          <t xml:space="preserve">Setapak</t>
        </is>
      </c>
      <c r="M4" s="10">
        <v>9500.0</v>
      </c>
      <c r="N4" s="10"/>
      <c r="O4" s="8"/>
      <c r="P4" s="9" t="s">
        <v>34</v>
      </c>
      <c r="Q4" s="9" t="inlineStr">
        <is>
          <t xml:space="preserve">KLTS Setapak</t>
        </is>
      </c>
      <c r="R4" s="9" t="inlineStr">
        <is>
          <t xml:space="preserve">51-G-1</t>
        </is>
      </c>
      <c r="S4" s="8" t="inlineStr">
        <is>
          <t xml:space="preserve">09/06/2026</t>
        </is>
      </c>
      <c r="T4" s="8" t="inlineStr">
        <is>
          <t xml:space="preserve">12/06/2026</t>
        </is>
      </c>
      <c r="U4" s="9" t="s">
        <v>38</v>
      </c>
      <c r="V4" s="9"/>
    </row>
    <row r="5" ht="22.5" customHeight="1">
      <c r="A5" s="11" t="s">
        <v>39</v>
      </c>
      <c r="B5" s="12" t="s">
        <v>40</v>
      </c>
      <c r="C5" s="12" t="s">
        <v>26</v>
      </c>
      <c r="D5" s="11" t="s">
        <v>27</v>
      </c>
      <c r="E5" s="12" t="s">
        <v>41</v>
      </c>
      <c r="F5" s="12"/>
      <c r="G5" s="12" t="s">
        <v>6</v>
      </c>
      <c r="H5" s="12" t="s">
        <v>42</v>
      </c>
      <c r="I5" s="12" t="s">
        <v>43</v>
      </c>
      <c r="J5" s="12" t="inlineStr">
        <is>
          <t xml:space="preserve">✅ Offer Accepted — Hartamas land RM5.62m</t>
        </is>
      </c>
      <c r="K5" s="11" t="s">
        <v>32</v>
      </c>
      <c r="L5" s="12" t="s">
        <v>45</v>
      </c>
      <c r="M5" s="13">
        <v>15000000</v>
      </c>
      <c r="N5" s="13"/>
      <c r="O5" s="11"/>
      <c r="P5" s="12" t="s">
        <v>46</v>
      </c>
      <c r="Q5" s="12"/>
      <c r="R5" s="12"/>
      <c r="S5" s="11" t="inlineStr">
        <is>
          <t xml:space="preserve">09/06/2026</t>
        </is>
      </c>
      <c r="T5" s="11" t="inlineStr">
        <is>
          <t xml:space="preserve">10/06/2026</t>
        </is>
      </c>
      <c r="U5" s="12" t="inlineStr">
        <is>
          <t xml:space="preserve">Local Chinese Loan Buyer. ✅ OFFER ACCEPTED — 6,500sf Hartamas land @ RM865psf (RM5,622,500), build own bungalow. Sign offer letter + earnest deposit 15/06. CO-BROKE 50/50 w/ Caydence: Spencer share RM56,225 (gross 2% RM112,450).</t>
        </is>
      </c>
      <c r="V5" s="12" t="s">
        <v>47</v>
      </c>
    </row>
    <row r="6" ht="22.5" customHeight="1">
      <c r="A6" s="14" t="s">
        <v>48</v>
      </c>
      <c r="B6" s="15" t="s">
        <v>49</v>
      </c>
      <c r="C6" s="15" t="s">
        <v>50</v>
      </c>
      <c r="D6" s="14" t="s">
        <v>51</v>
      </c>
      <c r="E6" s="15" t="s">
        <v>52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Viewing / Negotiating — Hijauan &amp; MK Damai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09/06/2026</t>
        </is>
      </c>
      <c r="T6" s="14" t="inlineStr">
        <is>
          <t xml:space="preserve">12/06/2026</t>
        </is>
      </c>
      <c r="U6" s="15" t="inlineStr">
        <is>
          <t xml:space="preserve">Want to purchase for own stay, then rent out in future. Viewed Hijauan Kiara/MK Aman/MK Damai 07/06; prefers Hijauan Kiara &amp; MK Damai.</t>
        </is>
      </c>
      <c r="V6" s="15" t="s">
        <v>64</v>
      </c>
    </row>
    <row r="7" ht="22.5" customHeight="1">
      <c r="A7" s="14" t="s">
        <v>65</v>
      </c>
      <c r="B7" s="15" t="s">
        <v>66</v>
      </c>
      <c r="C7" s="15" t="s">
        <v>67</v>
      </c>
      <c r="D7" s="14" t="s">
        <v>51</v>
      </c>
      <c r="E7" s="15" t="s">
        <v>68</v>
      </c>
      <c r="F7" s="15"/>
      <c r="G7" s="15" t="s">
        <v>6</v>
      </c>
      <c r="H7" s="15" t="s">
        <v>53</v>
      </c>
      <c r="I7" s="15" t="s">
        <v>54</v>
      </c>
      <c r="J7" s="15" t="inlineStr">
        <is>
          <t xml:space="preserve">Viewing / Negotiating — Hijauan &amp; MK Damai</t>
        </is>
      </c>
      <c r="K7" s="14" t="s">
        <v>32</v>
      </c>
      <c r="L7" s="15" t="s">
        <v>56</v>
      </c>
      <c r="M7" s="16">
        <v>1800000.0</v>
      </c>
      <c r="N7" s="16"/>
      <c r="O7" s="14" t="s">
        <v>57</v>
      </c>
      <c r="P7" s="15" t="s">
        <v>58</v>
      </c>
      <c r="Q7" s="15" t="s">
        <v>59</v>
      </c>
      <c r="R7" s="15" t="s">
        <v>60</v>
      </c>
      <c r="S7" s="14" t="inlineStr">
        <is>
          <t xml:space="preserve">09/06/2026</t>
        </is>
      </c>
      <c r="T7" s="14" t="inlineStr">
        <is>
          <t xml:space="preserve">12/06/2026</t>
        </is>
      </c>
      <c r="U7" s="15" t="inlineStr">
        <is>
          <t xml:space="preserve">Want to purchase for own stay, then rent out in future. Viewed Hijauan Kiara/MK Aman/MK Damai 07/06; prefers Hijauan Kiara &amp; MK Damai.</t>
        </is>
      </c>
      <c r="V7" s="15" t="s">
        <v>64</v>
      </c>
    </row>
    <row r="8" ht="22.5" customHeight="1">
      <c r="A8" s="17" t="s">
        <v>69</v>
      </c>
      <c r="B8" s="18" t="s">
        <v>70</v>
      </c>
      <c r="C8" s="18" t="s">
        <v>71</v>
      </c>
      <c r="D8" s="17" t="s">
        <v>51</v>
      </c>
      <c r="E8" s="18" t="s">
        <v>72</v>
      </c>
      <c r="F8" s="18"/>
      <c r="G8" s="18" t="s">
        <v>6</v>
      </c>
      <c r="H8" s="18" t="s">
        <v>42</v>
      </c>
      <c r="I8" s="18" t="s">
        <v>73</v>
      </c>
      <c r="J8" s="18" t="s">
        <v>74</v>
      </c>
      <c r="K8" s="17" t="s">
        <v>75</v>
      </c>
      <c r="L8" s="18" t="s">
        <v>56</v>
      </c>
      <c r="M8" s="19">
        <v>4000.0</v>
      </c>
      <c r="N8" s="19"/>
      <c r="O8" s="17" t="s">
        <v>57</v>
      </c>
      <c r="P8" s="18" t="s">
        <v>58</v>
      </c>
      <c r="Q8" s="18"/>
      <c r="R8" s="18"/>
      <c r="S8" s="17"/>
      <c r="T8" s="17"/>
      <c r="U8" s="18" t="s">
        <v>76</v>
      </c>
      <c r="V8" s="18" t="s">
        <v>77</v>
      </c>
    </row>
    <row r="9">
      <c r="A9" s="17" t="s">
        <v>78</v>
      </c>
      <c r="B9" s="18" t="s">
        <v>79</v>
      </c>
      <c r="C9" s="18" t="s">
        <v>80</v>
      </c>
      <c r="D9" s="17" t="s">
        <v>27</v>
      </c>
      <c r="E9" s="18"/>
      <c r="F9" s="18" t="s">
        <v>81</v>
      </c>
      <c r="G9" s="18" t="s">
        <v>82</v>
      </c>
      <c r="H9" s="18" t="s">
        <v>83</v>
      </c>
      <c r="I9" s="18" t="s">
        <v>43</v>
      </c>
      <c r="J9" s="18" t="s">
        <v>74</v>
      </c>
      <c r="K9" s="17" t="s">
        <v>32</v>
      </c>
      <c r="L9" s="18" t="s">
        <v>84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/>
      <c r="T9" s="17"/>
      <c r="U9" s="18" t="s">
        <v>85</v>
      </c>
      <c r="V9" s="18" t="s">
        <v>86</v>
      </c>
    </row>
    <row r="10" ht="32.25" customHeight="1">
      <c r="A10" s="17" t="s">
        <v>87</v>
      </c>
      <c r="B10" s="18" t="s">
        <v>88</v>
      </c>
      <c r="C10" s="18" t="s">
        <v>89</v>
      </c>
      <c r="D10" s="17" t="s">
        <v>27</v>
      </c>
      <c r="E10" s="18"/>
      <c r="F10" s="18" t="s">
        <v>90</v>
      </c>
      <c r="G10" s="18" t="s">
        <v>82</v>
      </c>
      <c r="H10" s="18" t="s">
        <v>91</v>
      </c>
      <c r="I10" s="18" t="s">
        <v>43</v>
      </c>
      <c r="J10" s="18" t="s">
        <v>92</v>
      </c>
      <c r="K10" s="17" t="s">
        <v>32</v>
      </c>
      <c r="L10" s="18" t="s">
        <v>56</v>
      </c>
      <c r="M10" s="19">
        <v>2000000.0</v>
      </c>
      <c r="N10" s="19"/>
      <c r="O10" s="17" t="s">
        <v>57</v>
      </c>
      <c r="P10" s="18" t="s">
        <v>58</v>
      </c>
      <c r="Q10" s="18"/>
      <c r="R10" s="18"/>
      <c r="S10" s="17" t="s">
        <v>93</v>
      </c>
      <c r="T10" s="17"/>
      <c r="U10" s="18" t="s">
        <v>94</v>
      </c>
      <c r="V10" s="18" t="s">
        <v>86</v>
      </c>
    </row>
    <row r="11" ht="32.25" customHeight="1">
      <c r="A11" s="11" t="s">
        <v>95</v>
      </c>
      <c r="B11" s="12" t="s">
        <v>96</v>
      </c>
      <c r="C11" s="12" t="s">
        <v>97</v>
      </c>
      <c r="D11" s="11" t="s">
        <v>51</v>
      </c>
      <c r="E11" s="12" t="s">
        <v>98</v>
      </c>
      <c r="F11" s="12"/>
      <c r="G11" s="12"/>
      <c r="H11" s="12" t="s">
        <v>99</v>
      </c>
      <c r="I11" s="12" t="s">
        <v>43</v>
      </c>
      <c r="J11" s="12" t="s">
        <v>100</v>
      </c>
      <c r="K11" s="11" t="s">
        <v>32</v>
      </c>
      <c r="L11" s="12" t="s">
        <v>56</v>
      </c>
      <c r="M11" s="13">
        <v>5000000.0</v>
      </c>
      <c r="N11" s="13"/>
      <c r="O11" s="11" t="s">
        <v>57</v>
      </c>
      <c r="P11" s="12" t="s">
        <v>58</v>
      </c>
      <c r="Q11" s="12" t="s">
        <v>101</v>
      </c>
      <c r="R11" s="12" t="s">
        <v>102</v>
      </c>
      <c r="S11" s="20">
        <v>46179</v>
      </c>
      <c r="T11" s="20">
        <v>46183</v>
      </c>
      <c r="U11" s="12" t="inlineStr">
        <is>
          <t xml:space="preserve">Placed Offer AB-39-02 MK 10 at RM 4.2mil but owner rejected, looking to sell at RM 4.5mil and above. 06/06: shared MK 10 comp (4,090sf sold RM5.5m, ~RM1,345psf); AB-39-02 (3,668sf) still available — awaiting response.</t>
        </is>
      </c>
      <c r="V11" s="12" t="s">
        <v>104</v>
      </c>
    </row>
    <row r="12" ht="22.5" customHeight="1">
      <c r="A12" s="73" t="s">
        <v>105</v>
      </c>
      <c r="B12" s="74" t="s">
        <v>106</v>
      </c>
      <c r="C12" s="74" t="s">
        <v>26</v>
      </c>
      <c r="D12" s="73" t="s">
        <v>27</v>
      </c>
      <c r="E12" s="74" t="s">
        <v>107</v>
      </c>
      <c r="F12" s="74"/>
      <c r="G12" s="74" t="s">
        <v>6</v>
      </c>
      <c r="H12" s="74" t="s">
        <v>108</v>
      </c>
      <c r="I12" s="74" t="s">
        <v>54</v>
      </c>
      <c r="J12" s="74" t="inlineStr">
        <is>
          <t xml:space="preserve">Offer submitted RM4,800 — pending revert</t>
        </is>
      </c>
      <c r="K12" s="73" t="s">
        <v>32</v>
      </c>
      <c r="L12" s="74" t="s">
        <v>110</v>
      </c>
      <c r="M12" s="73" t="s">
        <v>111</v>
      </c>
      <c r="N12" s="73"/>
      <c r="O12" s="73" t="s">
        <v>57</v>
      </c>
      <c r="P12" s="74" t="s">
        <v>112</v>
      </c>
      <c r="Q12" s="75" t="s">
        <v>113</v>
      </c>
      <c r="R12" s="75" t="s">
        <v>114</v>
      </c>
      <c r="S12" s="76" t="inlineStr">
        <is>
          <t xml:space="preserve">08/06/2026</t>
        </is>
      </c>
      <c r="T12" s="76" t="inlineStr">
        <is>
          <t xml:space="preserve">11/06/2026</t>
        </is>
      </c>
      <c r="U12" s="75" t="inlineStr">
        <is>
          <t>Viewed AmanAra Residence (Bandar Utama) 04/06 via JY Kam co-broke. Follow-up sent 05/06 — awaiting decision. Confirm exact ask (CRM RM5.5k PF vs portal ~RM6.5k FF).</t>
        </is>
      </c>
      <c r="V12" s="75" t="s">
        <v>116</v>
      </c>
    </row>
    <row r="13" ht="22.5" customHeight="1">
      <c r="A13" s="73" t="inlineStr">
        <is>
          <t>L059</t>
        </is>
      </c>
      <c r="B13" s="74" t="inlineStr">
        <is>
          <t>Ms Norain</t>
        </is>
      </c>
      <c r="C13" s="74" t="inlineStr">
        <is>
          <t>Malaysian</t>
        </is>
      </c>
      <c r="D13" s="73" t="inlineStr">
        <is>
          <t>Malay, English</t>
        </is>
      </c>
      <c r="E13" s="74" t="inlineStr">
        <is>
          <t>+60162138240</t>
        </is>
      </c>
      <c r="F13" s="74"/>
      <c r="G13" s="74" t="inlineStr">
        <is>
          <t>WhatsApp</t>
        </is>
      </c>
      <c r="H13" s="74"/>
      <c r="I13" s="74" t="inlineStr">
        <is>
          <t>Owner</t>
        </is>
      </c>
      <c r="J13" s="74" t="inlineStr">
        <is>
          <t xml:space="preserve">Master Listing — sourcing tenant</t>
        </is>
      </c>
      <c r="K13" s="73" t="inlineStr">
        <is>
          <t>Hot 🔥</t>
        </is>
      </c>
      <c r="L13" s="74" t="inlineStr">
        <is>
          <t>Mont Kiara</t>
        </is>
      </c>
      <c r="M13" s="73" t="inlineStr">
        <is>
          <t xml:space="preserve">7,500 /mo</t>
        </is>
      </c>
      <c r="N13" s="73"/>
      <c r="O13" s="73"/>
      <c r="P13" s="74" t="inlineStr">
        <is>
          <t>Condo</t>
        </is>
      </c>
      <c r="Q13" s="75" t="inlineStr">
        <is>
          <t>Astrea Mont Kiara</t>
        </is>
      </c>
      <c r="R13" s="75" t="inlineStr">
        <is>
          <t>12-07</t>
        </is>
      </c>
      <c r="S13" s="76"/>
      <c r="T13" s="76" t="inlineStr">
        <is>
          <t xml:space="preserve">12/06/2026</t>
        </is>
      </c>
      <c r="U13" s="75" t="inlineStr">
        <is>
          <t xml:space="preserve">Owner — Astrea MK 12-07, master rental listing @ RM7,500/mo. 10/06 showing to Ms Yoon (Korean) — not keen; sourcing another tenant.</t>
        </is>
      </c>
      <c r="V13" s="75" t="inlineStr">
        <is>
          <t>Owner / Rental listing</t>
        </is>
      </c>
    </row>
    <row r="14" ht="22.5" customHeight="1">
      <c r="A14" s="73" t="inlineStr">
        <is>
          <t xml:space="preserve">L060</t>
        </is>
      </c>
      <c r="B14" s="74" t="inlineStr">
        <is>
          <t xml:space="preserve">Aisyah Hamid</t>
        </is>
      </c>
      <c r="C14" s="74" t="inlineStr">
        <is>
          <t xml:space="preserve">Malaysian</t>
        </is>
      </c>
      <c r="D14" s="73" t="inlineStr">
        <is>
          <t xml:space="preserve">Malay, English</t>
        </is>
      </c>
      <c r="E14" s="74" t="inlineStr">
        <is>
          <t xml:space="preserve">+60172702010</t>
        </is>
      </c>
      <c r="F14" s="74"/>
      <c r="G14" s="74" t="inlineStr">
        <is>
          <t xml:space="preserve">WhatsApp</t>
        </is>
      </c>
      <c r="H14" s="74" t="inlineStr">
        <is>
          <t xml:space="preserve">iProperty</t>
        </is>
      </c>
      <c r="I14" s="74" t="inlineStr">
        <is>
          <t xml:space="preserve">Tenant</t>
        </is>
      </c>
      <c r="J14" s="74" t="inlineStr">
        <is>
          <t xml:space="preserve">New Lead</t>
        </is>
      </c>
      <c r="K14" s="73" t="inlineStr">
        <is>
          <t xml:space="preserve">Hot 🔥</t>
        </is>
      </c>
      <c r="L14" s="74" t="inlineStr">
        <is>
          <t xml:space="preserve">Gombak</t>
        </is>
      </c>
      <c r="M14" s="73" t="inlineStr">
        <is>
          <t xml:space="preserve">6,000 /mo</t>
        </is>
      </c>
      <c r="N14" s="73"/>
      <c r="O14" s="73"/>
      <c r="P14" s="74" t="inlineStr">
        <is>
          <t xml:space="preserve">Shoplot</t>
        </is>
      </c>
      <c r="Q14" s="75" t="inlineStr">
        <is>
          <t xml:space="preserve">KLTS Gombak / Gombak Shoplot</t>
        </is>
      </c>
      <c r="R14" s="75" t="inlineStr">
        <is>
          <t xml:space="preserve">Ground Floor</t>
        </is>
      </c>
      <c r="S14" s="76" t="inlineStr">
        <is>
          <t xml:space="preserve">09/06/2026</t>
        </is>
      </c>
      <c r="T14" s="76" t="inlineStr">
        <is>
          <t xml:space="preserve">12/06/2026</t>
        </is>
      </c>
      <c r="U14" s="75" t="inlineStr">
        <is>
          <t xml:space="preserve">F&amp;B tenant — wants ground-floor shoplot, ~RM6,000/mo, Gombak (KLTS). Existing outlets: JNC Burger Bangi &amp; Bukit Jelutong. Target move-in Aug 2026.</t>
        </is>
      </c>
      <c r="V14" s="75" t="inlineStr">
        <is>
          <t xml:space="preserve">F&amp;B Tenant / Shoplot</t>
        </is>
      </c>
    </row>
    <row r="15" ht="22.5" customHeight="1">
      <c r="A15" s="73" t="inlineStr">
        <is>
          <t xml:space="preserve">L061</t>
        </is>
      </c>
      <c r="B15" s="74" t="inlineStr">
        <is>
          <t xml:space="preserve">Nas (Kenangan Coffee)</t>
        </is>
      </c>
      <c r="C15" s="74" t="inlineStr">
        <is>
          <t xml:space="preserve">Malaysian</t>
        </is>
      </c>
      <c r="D15" s="73" t="inlineStr">
        <is>
          <t xml:space="preserve">Malay, English</t>
        </is>
      </c>
      <c r="E15" s="74" t="inlineStr">
        <is>
          <t xml:space="preserve">+60194707037</t>
        </is>
      </c>
      <c r="F15" s="74"/>
      <c r="G15" s="74" t="inlineStr">
        <is>
          <t xml:space="preserve">WhatsApp</t>
        </is>
      </c>
      <c r="H15" s="74" t="inlineStr">
        <is>
          <t xml:space="preserve">iProperty — KLTS Setapak 51-G-1 (Patrick Chow)</t>
        </is>
      </c>
      <c r="I15" s="74" t="inlineStr">
        <is>
          <t xml:space="preserve">Tenant</t>
        </is>
      </c>
      <c r="J15" s="74" t="inlineStr">
        <is>
          <t xml:space="preserve">Offer placed — measurement 16/06</t>
        </is>
      </c>
      <c r="K15" s="73" t="inlineStr">
        <is>
          <t xml:space="preserve">Hot 🔥</t>
        </is>
      </c>
      <c r="L15" s="74" t="inlineStr">
        <is>
          <t xml:space="preserve">Setapak</t>
        </is>
      </c>
      <c r="M15" s="73" t="inlineStr">
        <is>
          <t xml:space="preserve">8,500–9,000 /mo</t>
        </is>
      </c>
      <c r="N15" s="73"/>
      <c r="O15" s="73"/>
      <c r="P15" s="74" t="inlineStr">
        <is>
          <t xml:space="preserve">Commercial Shoplot</t>
        </is>
      </c>
      <c r="Q15" s="75" t="inlineStr">
        <is>
          <t xml:space="preserve">KLTS Setapak 51-G-1 (Patrick Chow)</t>
        </is>
      </c>
      <c r="R15" s="75" t="inlineStr">
        <is>
          <t xml:space="preserve">51-G-1</t>
        </is>
      </c>
      <c r="S15" s="76" t="inlineStr">
        <is>
          <t xml:space="preserve">09/06/2026</t>
        </is>
      </c>
      <c r="T15" s="76" t="inlineStr">
        <is>
          <t xml:space="preserve">10/06/2026</t>
        </is>
      </c>
      <c r="U15" s="75" t="inlineStr">
        <is>
          <t xml:space="preserve">Kenangan Coffee (F&amp;B). Tenant for Patrick Chow's KLTS Setapak 51-G-1 @ RM8,500(yr1)/RM9,000(yr2-3), 3+3yrs, as-is basis. Offer placed; gap on free reno (Nas 1mth vs Patrick 15 days).</t>
        </is>
      </c>
      <c r="V15" s="75" t="inlineStr">
        <is>
          <t xml:space="preserve">F&amp;B Tenant / Shoplot</t>
        </is>
      </c>
    </row>
    <row r="16" ht="22.5" customHeight="1">
      <c r="A16" s="73" t="inlineStr">
        <is>
          <t xml:space="preserve">L062</t>
        </is>
      </c>
      <c r="B16" s="74" t="inlineStr">
        <is>
          <t xml:space="preserve">Stephanie</t>
        </is>
      </c>
      <c r="C16" s="74" t="inlineStr">
        <is>
          <t xml:space="preserve">Malaysian (husband Japanese)</t>
        </is>
      </c>
      <c r="D16" s="73" t="inlineStr">
        <is>
          <t xml:space="preserve">English, Chinese, Cantonese</t>
        </is>
      </c>
      <c r="E16" s="74" t="inlineStr">
        <is>
          <t xml:space="preserve">+60162212997</t>
        </is>
      </c>
      <c r="F16" s="74"/>
      <c r="G16" s="74" t="inlineStr">
        <is>
          <t xml:space="preserve">WhatsApp</t>
        </is>
      </c>
      <c r="H16" s="74" t="inlineStr">
        <is>
          <t xml:space="preserve">iProperty</t>
        </is>
      </c>
      <c r="I16" s="74" t="inlineStr">
        <is>
          <t xml:space="preserve">Tenant</t>
        </is>
      </c>
      <c r="J16" s="74" t="inlineStr">
        <is>
          <t xml:space="preserve">Viewed Astrea 20-01 (1,828sf 3BR)</t>
        </is>
      </c>
      <c r="K16" s="73" t="inlineStr">
        <is>
          <t xml:space="preserve">Hot 🔥</t>
        </is>
      </c>
      <c r="L16" s="74" t="inlineStr">
        <is>
          <t xml:space="preserve">Mont Kiara</t>
        </is>
      </c>
      <c r="M16" s="73" t="inlineStr">
        <is>
          <t xml:space="preserve">6,000 /mo</t>
        </is>
      </c>
      <c r="N16" s="73" t="inlineStr">
        <is>
          <t xml:space="preserve">1,828 sqft</t>
        </is>
      </c>
      <c r="O16" s="73" t="inlineStr">
        <is>
          <t xml:space="preserve">3</t>
        </is>
      </c>
      <c r="P16" s="74" t="inlineStr">
        <is>
          <t xml:space="preserve">Condo</t>
        </is>
      </c>
      <c r="Q16" s="75" t="inlineStr">
        <is>
          <t xml:space="preserve">Astrea Mont Kiara</t>
        </is>
      </c>
      <c r="R16" s="75" t="inlineStr">
        <is>
          <t xml:space="preserve">20-01</t>
        </is>
      </c>
      <c r="S16" s="76"/>
      <c r="T16" s="76" t="inlineStr">
        <is>
          <t xml:space="preserve">11/06/2026</t>
        </is>
      </c>
      <c r="U16" s="75" t="inlineStr">
        <is>
          <t xml:space="preserve">Tenant. Viewed Astrea 20-01 (1,828sf, 3BR). Malaysian, husband Japanese (2 pax staying). Budget RM6,000/mo.</t>
        </is>
      </c>
      <c r="V16" s="75" t="inlineStr">
        <is>
          <t xml:space="preserve">Local Chinese &amp; Japanese Tenant</t>
        </is>
      </c>
    </row>
    <row r="17" ht="22.5" customHeight="1">
      <c r="A17" s="73" t="inlineStr">
        <is>
          <t xml:space="preserve">L063</t>
        </is>
      </c>
      <c r="B17" s="74" t="inlineStr">
        <is>
          <t xml:space="preserve">Aaron</t>
        </is>
      </c>
      <c r="C17" s="74" t="inlineStr">
        <is>
          <t xml:space="preserve">Malaysian</t>
        </is>
      </c>
      <c r="D17" s="73" t="inlineStr">
        <is>
          <t xml:space="preserve">English</t>
        </is>
      </c>
      <c r="E17" s="74" t="inlineStr">
        <is>
          <t xml:space="preserve">+60122354261</t>
        </is>
      </c>
      <c r="F17" s="74"/>
      <c r="G17" s="74" t="inlineStr">
        <is>
          <t xml:space="preserve">WhatsApp</t>
        </is>
      </c>
      <c r="H17" s="74" t="inlineStr">
        <is>
          <t xml:space="preserve">iProperty</t>
        </is>
      </c>
      <c r="I17" s="74" t="inlineStr">
        <is>
          <t xml:space="preserve">Tenant (also owner A-29-02 Allevia)</t>
        </is>
      </c>
      <c r="J17" s="74" t="inlineStr">
        <is>
          <t xml:space="preserve">Matched — viewing Allevia B-29-01 (arranging)</t>
        </is>
      </c>
      <c r="K17" s="73" t="inlineStr">
        <is>
          <t xml:space="preserve">Hot 🔥</t>
        </is>
      </c>
      <c r="L17" s="74" t="inlineStr">
        <is>
          <t xml:space="preserve">Mont Kiara</t>
        </is>
      </c>
      <c r="M17" s="73" t="inlineStr">
        <is>
          <t xml:space="preserve">8,000–12,000 /mo</t>
        </is>
      </c>
      <c r="N17" s="73"/>
      <c r="O17" s="73" t="inlineStr">
        <is>
          <t xml:space="preserve">3</t>
        </is>
      </c>
      <c r="P17" s="74" t="inlineStr">
        <is>
          <t xml:space="preserve">Condo</t>
        </is>
      </c>
      <c r="Q17" s="75" t="inlineStr">
        <is>
          <t xml:space="preserve">Allevia</t>
        </is>
      </c>
      <c r="R17" s="75" t="inlineStr">
        <is>
          <t xml:space="preserve">owns A-29-02</t>
        </is>
      </c>
      <c r="S17" s="76"/>
      <c r="T17" s="76" t="inlineStr">
        <is>
          <t xml:space="preserve">11/06/2026</t>
        </is>
      </c>
      <c r="U17" s="75" t="inlineStr">
        <is>
          <t xml:space="preserve">Tenant for Allevia Tower A 3BR @ RM8–12k/mo. MATCHED to Sharavana's Allevia B-29-01 (RM9,500/mo) — arranging viewing. Owns A-29-02 but owner-occupied (own stay) — NOT for listing. Local Chinese.</t>
        </is>
      </c>
      <c r="V17" s="75" t="inlineStr">
        <is>
          <t xml:space="preserve">Local Chinese Tenant / Owner</t>
        </is>
      </c>
    </row>
    <row r="18" ht="22.5" customHeight="1">
      <c r="A18" s="73" t="inlineStr">
        <is>
          <t xml:space="preserve">L064</t>
        </is>
      </c>
      <c r="B18" s="74" t="inlineStr">
        <is>
          <t xml:space="preserve">Eleena</t>
        </is>
      </c>
      <c r="C18" s="74" t="inlineStr">
        <is>
          <t xml:space="preserve">Malaysian</t>
        </is>
      </c>
      <c r="D18" s="73" t="inlineStr">
        <is>
          <t xml:space="preserve">Malay, English</t>
        </is>
      </c>
      <c r="E18" s="74" t="inlineStr">
        <is>
          <t xml:space="preserve">+60179554304</t>
        </is>
      </c>
      <c r="F18" s="74"/>
      <c r="G18" s="74" t="inlineStr">
        <is>
          <t xml:space="preserve">WhatsApp</t>
        </is>
      </c>
      <c r="H18" s="74" t="inlineStr">
        <is>
          <t xml:space="preserve">iProperty</t>
        </is>
      </c>
      <c r="I18" s="74" t="inlineStr">
        <is>
          <t xml:space="preserve">Tenant</t>
        </is>
      </c>
      <c r="J18" s="74" t="inlineStr">
        <is>
          <t xml:space="preserve">Viewing arranged 16/06 (2 options)</t>
        </is>
      </c>
      <c r="K18" s="73" t="inlineStr">
        <is>
          <t xml:space="preserve">Hot 🔥</t>
        </is>
      </c>
      <c r="L18" s="74" t="inlineStr">
        <is>
          <t xml:space="preserve">Mont Kiara</t>
        </is>
      </c>
      <c r="M18" s="73" t="inlineStr">
        <is>
          <t xml:space="preserve">2,500–3,000 /mo</t>
        </is>
      </c>
      <c r="N18" s="73" t="inlineStr">
        <is>
          <t xml:space="preserve">500–800 sqft</t>
        </is>
      </c>
      <c r="O18" s="73"/>
      <c r="P18" s="74" t="inlineStr">
        <is>
          <t xml:space="preserve">Office lot</t>
        </is>
      </c>
      <c r="Q18" s="75" t="inlineStr">
        <is>
          <t xml:space="preserve">Plaza Mont Kiara</t>
        </is>
      </c>
      <c r="R18" s="75" t="inlineStr">
        <is>
          <t xml:space="preserve">Tower A</t>
        </is>
      </c>
      <c r="S18" s="76"/>
      <c r="T18" s="76" t="inlineStr">
        <is>
          <t xml:space="preserve">16/06/2026</t>
        </is>
      </c>
      <c r="U18" s="75" t="inlineStr">
        <is>
          <t xml:space="preserve">Local Malay law firm — rent 1 office lot, Plaza MK. Viewing 16/06 2pm: Block B 750sf RM3,000 &amp; Block E 800sf RM2,800 (both PF). 2yr, move-in Jul/Aug 2026.</t>
        </is>
      </c>
      <c r="V18" s="75" t="inlineStr">
        <is>
          <t xml:space="preserve">Office Tenant / Law Firm</t>
        </is>
      </c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inlineStr">
        <is>
          <t xml:space="preserve">Moved Out</t>
        </is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inlineStr">
        <is>
          <t xml:space="preserve">Moved out to Hyatt Regency Hostel (lease ended 23/05/2026). No renewal.</t>
        </is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s">
        <v>109</v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s">
        <v>393</v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s">
        <v>432</v>
      </c>
      <c r="T38" s="21" t="s">
        <v>61</v>
      </c>
      <c r="U38" s="21" t="s">
        <v>209</v>
      </c>
      <c r="V38" s="22" t="s">
        <v>433</v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s">
        <v>534</v>
      </c>
      <c r="V50" s="22" t="s">
        <v>536</v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s">
        <v>544</v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s">
        <v>399</v>
      </c>
      <c r="V52" s="22" t="s">
        <v>536</v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10/06/2026</t>
        </is>
      </c>
      <c r="E4" s="17" t="s">
        <v>6</v>
      </c>
      <c r="F4" s="17" t="s">
        <v>32</v>
      </c>
      <c r="G4" s="17" t="s">
        <v>571</v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06/06: Sent MK 10 comp (4,090sf @ RM5.5m, ~RM1,345psf). AB-39-02 3,668sf still available. No response yet.</t>
        </is>
      </c>
      <c r="J4" s="17" t="inlineStr">
        <is>
          <t xml:space="preserve">Nudge for viewing / decision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15/06/2026</t>
        </is>
      </c>
      <c r="E5" s="11" t="s">
        <v>6</v>
      </c>
      <c r="F5" s="11" t="s">
        <v>32</v>
      </c>
      <c r="G5" s="11" t="inlineStr">
        <is>
          <t xml:space="preserve">✅ Offer Accepted — RM865psf</t>
        </is>
      </c>
      <c r="H5" s="12" t="inlineStr">
        <is>
          <t xml:space="preserve">Prefers bungalow LAND to build. 11/06 (Thu): 4pm 119 Sunway Kiara Hills (RM4.5m, Yuan Ling); 4:30pm Hartamas Hts land 6,500sf RM6.18m (Caydence); 5pm Hartamas Hts land 9,791sf RM9.3m &amp; 12,200sf RM10.5m (Joel Loke); 5:15pm Hartamas Hts land 17,997sf RM11m (Kelvin Moh); 5:30pm Hartamas Hts bungalow B/U 15,127sf RM18m (Teoh). Keen on Laman Setiakasih 8 (RM9.2m).</t>
        </is>
      </c>
      <c r="I5" s="12" t="inlineStr">
        <is>
          <t xml:space="preserve">OFFER ACCEPTED 13/06 at RM865psf (RM5,622,500)! 6,500sf Hartamas land. Sign offer letter + earnest deposit 15/06 (Mon).</t>
        </is>
      </c>
      <c r="J5" s="11" t="inlineStr">
        <is>
          <t xml:space="preserve">Sign offer letter &amp; earnest deposit 15/06; then SPA. CO-BROKE 50/50 w/ Caydence — Spencer share RM56,225.</t>
        </is>
      </c>
      <c r="K5" s="11" t="inlineStr">
        <is>
          <t xml:space="preserve">15/06/2026 (Mon) — sign offer letter &amp; earnest deposit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 xml:space="preserve">Co-agents 11/06: Yuan Ling +60149233413; Caydence +60102462822; Joel Loke +60123862854; Kelvin Moh +60195215527; Teoh +60167757963.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12/06/2026</t>
        </is>
      </c>
      <c r="E7" s="17" t="s">
        <v>6</v>
      </c>
      <c r="F7" s="17" t="s">
        <v>32</v>
      </c>
      <c r="G7" s="17" t="inlineStr">
        <is>
          <t xml:space="preserve">Viewed / Negotiating</t>
        </is>
      </c>
      <c r="H7" s="18" t="inlineStr">
        <is>
          <t>Viewing 07/06 (Sun): Hijauan Kiara RM1.75m 2:30pm; MK Aman RM1.45m nett 3:15pm; MK Damai RM1.78m 4:15pm</t>
        </is>
      </c>
      <c r="I7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 Warm follow-up sent 09/06 — awaiting decision.</t>
        </is>
      </c>
      <c r="J7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7" s="35" t="inlineStr">
        <is>
          <t xml:space="preserve">07/06/2026 2:30pm (viewing done)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12/06/2026</t>
        </is>
      </c>
      <c r="E8" s="17" t="s">
        <v>6</v>
      </c>
      <c r="F8" s="17" t="s">
        <v>32</v>
      </c>
      <c r="G8" s="17" t="inlineStr">
        <is>
          <t xml:space="preserve">Viewed / Negotiating</t>
        </is>
      </c>
      <c r="H8" s="18" t="inlineStr">
        <is>
          <t>Viewing 07/06 (Sun): Hijauan Kiara RM1.75m 2:30pm; MK Aman RM1.45m nett 3:15pm; MK Damai RM1.78m 4:15pm</t>
        </is>
      </c>
      <c r="I8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 Warm follow-up sent 09/06 — awaiting decision.</t>
        </is>
      </c>
      <c r="J8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8" s="35" t="inlineStr">
        <is>
          <t xml:space="preserve">07/06/2026 2:30pm (viewing done)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s">
        <v>593</v>
      </c>
      <c r="E9" s="17" t="s">
        <v>82</v>
      </c>
      <c r="F9" s="17" t="s">
        <v>32</v>
      </c>
      <c r="G9" s="17" t="s">
        <v>571</v>
      </c>
      <c r="H9" s="18" t="s">
        <v>594</v>
      </c>
      <c r="I9" s="18"/>
      <c r="J9" s="17" t="s">
        <v>595</v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inlineStr">
        <is>
          <t xml:space="preserve">12/06/2026</t>
        </is>
      </c>
      <c r="E10" s="17" t="s">
        <v>6</v>
      </c>
      <c r="F10" s="17" t="s">
        <v>32</v>
      </c>
      <c r="G10" s="17" t="inlineStr">
        <is>
          <t xml:space="preserve">Marketing</t>
        </is>
      </c>
      <c r="H10" s="18" t="inlineStr">
        <is>
          <t xml:space="preserve">KLTS Setapak 51-G-1 vacant — find tenant (Cotti Coffee breached)</t>
        </is>
      </c>
      <c r="I10" s="18" t="inlineStr">
        <is>
          <t xml:space="preserve">KLTS Setapak 51-G-1 marketed 09/06. Nas (Kenangan Coffee) placed offer.</t>
        </is>
      </c>
      <c r="J10" s="17" t="inlineStr">
        <is>
          <t xml:space="preserve">Negotiate Nas/Kenangan offer (free-reno gap: 15 days offered vs 1 mth requested); close tenancy.</t>
        </is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s">
        <v>598</v>
      </c>
      <c r="E11" s="17" t="s">
        <v>6</v>
      </c>
      <c r="F11" s="17" t="s">
        <v>32</v>
      </c>
      <c r="G11" s="17" t="s">
        <v>571</v>
      </c>
      <c r="H11" s="18" t="s">
        <v>599</v>
      </c>
      <c r="I11" s="18"/>
      <c r="J11" s="17" t="s">
        <v>600</v>
      </c>
      <c r="K11" s="17"/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 xml:space="preserve">13/06/2026</t>
        </is>
      </c>
      <c r="E12" s="17" t="s">
        <v>6</v>
      </c>
      <c r="F12" s="17" t="s">
        <v>32</v>
      </c>
      <c r="G12" s="17" t="inlineStr">
        <is>
          <t xml:space="preserve">Offer submitted — pending</t>
        </is>
      </c>
      <c r="H12" s="18" t="inlineStr">
        <is>
          <t>Post-viewing follow-up — AmanAra Residence (Bandar Utama), viewed 04/06 via JY Kam</t>
        </is>
      </c>
      <c r="I12" s="18" t="inlineStr">
        <is>
          <t xml:space="preserve">Submitted offer RM4,800/mo to landlord agent JY Kam 11/06; pending revert. (AmanAra Residence, Bandar Utama.)</t>
        </is>
      </c>
      <c r="J12" s="17" t="inlineStr">
        <is>
          <t xml:space="preserve">Await landlord revert on RM4,800 offer; negotiate via JY Kam.</t>
        </is>
      </c>
      <c r="K12" s="17"/>
      <c r="L12" s="17" t="s">
        <v>591</v>
      </c>
      <c r="M12" s="17" t="s">
        <v>27</v>
      </c>
      <c r="N12" s="17" t="s">
        <v>575</v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inlineStr">
        <is>
          <t xml:space="preserve">Resolved</t>
        </is>
      </c>
      <c r="H13" s="18" t="s">
        <v>604</v>
      </c>
      <c r="I13" s="34" t="inlineStr">
        <is>
          <t xml:space="preserve">Sewerage smell fixed &amp; monitored — resolved.</t>
        </is>
      </c>
      <c r="J13" s="17" t="inlineStr">
        <is>
          <t xml:space="preserve">None — closed</t>
        </is>
      </c>
      <c r="K13" s="17"/>
      <c r="L13" s="17" t="s">
        <v>593</v>
      </c>
      <c r="M13" s="17" t="s">
        <v>51</v>
      </c>
      <c r="N13" s="17" t="inlineStr">
        <is>
          <t xml:space="preserve">☑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inlineStr">
        <is>
          <t xml:space="preserve">12/06/2026</t>
        </is>
      </c>
      <c r="E16" s="17" t="s">
        <v>6</v>
      </c>
      <c r="F16" s="17" t="s">
        <v>32</v>
      </c>
      <c r="G16" s="17" t="inlineStr">
        <is>
          <t xml:space="preserve">Marketing</t>
        </is>
      </c>
      <c r="H16" s="18" t="inlineStr">
        <is>
          <t xml:space="preserve">Allevia B-29-01 avail 01/07/2026 — For Rent RM9,500/mo OR For Sale RM2.3mil; find tenant or buyer</t>
        </is>
      </c>
      <c r="I16" s="18" t="inlineStr">
        <is>
          <t xml:space="preserve">Marketing Allevia B-29-01 from 09/06 (rent RM9,500 / sale RM2.3m). B-22-01 let by another agent (Nick Lu) 15/06. MATCHED prospect: Aaron (L063) for B-29-01 rent — arranging viewing.</t>
        </is>
      </c>
      <c r="J16" s="17" t="inlineStr">
        <is>
          <t xml:space="preserve">Market for rent (RM9,500/mo) &amp; sale (RM2.3mil); match to active leads</t>
        </is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 xml:space="preserve">12/06/2026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 xml:space="preserve">Listing active — sourcing tenant</t>
        </is>
      </c>
      <c r="H17" s="18" t="inlineStr">
        <is>
          <t xml:space="preserve">Astrea MK 12-07 — master rental listing @ RM7,500/mo (owner Ms Norain)</t>
        </is>
      </c>
      <c r="I17" s="18" t="inlineStr">
        <is>
          <t xml:space="preserve">Showing 10/06 done — Korean tenant Ms Yoon not keen. Sourcing another tenant.</t>
        </is>
      </c>
      <c r="J17" s="17" t="inlineStr">
        <is>
          <t xml:space="preserve">Source new tenant for Astrea 12-07 @ RM7,500/mo; market iProperty/PG + China network.</t>
        </is>
      </c>
      <c r="K17" s="17" t="inlineStr">
        <is>
          <t xml:space="preserve">—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 xml:space="preserve">Tenant prospect: Ms Yoon (Korean). Co-agent (tenant side): Kenie Yow.</t>
        </is>
      </c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12/06/2026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New Lead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 Traffic-check follow-up sent 09/06 (she scouted weekday foot traffic Mon).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☐</t>
        </is>
      </c>
      <c r="O18" s="17" t="inlineStr">
        <is>
          <t xml:space="preserve">Plans to move in Aug 2026; observing weekday foot traffic (Mon) — follow up Tue.</t>
        </is>
      </c>
    </row>
    <row r="19" ht="22.5" customHeight="1">
      <c r="A19" s="17" t="inlineStr">
        <is>
          <t xml:space="preserve">L061</t>
        </is>
      </c>
      <c r="B19" s="18" t="inlineStr">
        <is>
          <t xml:space="preserve">Nas (Kenangan Coffee)</t>
        </is>
      </c>
      <c r="C19" s="17" t="inlineStr">
        <is>
          <t xml:space="preserve">Malaysian</t>
        </is>
      </c>
      <c r="D19" s="17" t="inlineStr">
        <is>
          <t xml:space="preserve">11/06/2026</t>
        </is>
      </c>
      <c r="E19" s="17" t="inlineStr">
        <is>
          <t xml:space="preserve">WhatsApp</t>
        </is>
      </c>
      <c r="F19" s="17" t="inlineStr">
        <is>
          <t xml:space="preserve">Hot 🔥</t>
        </is>
      </c>
      <c r="G19" s="17" t="inlineStr">
        <is>
          <t xml:space="preserve">Offer placed — measurement 16/06</t>
        </is>
      </c>
      <c r="H19" s="18" t="inlineStr">
        <is>
          <t xml:space="preserve">KLTS Setapak 51-G-1 (Patrick Chow) — offer RM8,500(yr1)/RM9,000(yr2-3), 3+3yrs</t>
        </is>
      </c>
      <c r="I19" s="18" t="inlineStr">
        <is>
          <t xml:space="preserve">Offer: 1st yr RM8,500, 2nd-3rd RM9,000, 3+3yrs, 1mth free reno, as-is. Patrick countered: same rent, 15 days free reno.</t>
        </is>
      </c>
      <c r="J19" s="17" t="inlineStr">
        <is>
          <t xml:space="preserve">Bridge free-reno gap (1mth vs 15 days). Measurement viewing 16/06 11am w/ Nas team.</t>
        </is>
      </c>
      <c r="K19" s="17" t="inlineStr">
        <is>
          <t xml:space="preserve">16/06/2026 (Tue) 11am — measurement w/ team</t>
        </is>
      </c>
      <c r="L19" s="17"/>
      <c r="M19" s="17" t="inlineStr">
        <is>
          <t xml:space="preserve">Malay, English</t>
        </is>
      </c>
      <c r="N19" s="17" t="inlineStr">
        <is>
          <t xml:space="preserve">☐</t>
        </is>
      </c>
      <c r="O19" s="17" t="inlineStr">
        <is>
          <t xml:space="preserve">For Patrick Chow's KLTS Gombak vacancy (L005).</t>
        </is>
      </c>
    </row>
    <row r="20" ht="22.5" customHeight="1">
      <c r="A20" s="17" t="inlineStr">
        <is>
          <t xml:space="preserve">L062</t>
        </is>
      </c>
      <c r="B20" s="18" t="inlineStr">
        <is>
          <t xml:space="preserve">Stephanie</t>
        </is>
      </c>
      <c r="C20" s="17" t="inlineStr">
        <is>
          <t xml:space="preserve">Malaysian</t>
        </is>
      </c>
      <c r="D20" s="17" t="inlineStr">
        <is>
          <t xml:space="preserve">11/06/2026</t>
        </is>
      </c>
      <c r="E20" s="17" t="inlineStr">
        <is>
          <t xml:space="preserve">WhatsApp</t>
        </is>
      </c>
      <c r="F20" s="17" t="inlineStr">
        <is>
          <t xml:space="preserve">Hot 🔥</t>
        </is>
      </c>
      <c r="G20" s="17" t="inlineStr">
        <is>
          <t xml:space="preserve">Viewing done</t>
        </is>
      </c>
      <c r="H20" s="18" t="inlineStr">
        <is>
          <t xml:space="preserve">Tenant — viewed Astrea 20-01 (1,828sf 3BR), RM6,000/mo</t>
        </is>
      </c>
      <c r="I20" s="18" t="inlineStr">
        <is>
          <t xml:space="preserve">Viewed Astrea 20-01; gauge interest.</t>
        </is>
      </c>
      <c r="J20" s="17" t="inlineStr">
        <is>
          <t xml:space="preserve">Follow up on interest; show more MK units in budget.</t>
        </is>
      </c>
      <c r="K20" s="17"/>
      <c r="L20" s="17"/>
      <c r="M20" s="17" t="inlineStr">
        <is>
          <t xml:space="preserve">English, Chinese, Cantonese</t>
        </is>
      </c>
      <c r="N20" s="17" t="inlineStr">
        <is>
          <t xml:space="preserve">☐</t>
        </is>
      </c>
      <c r="O20" s="17"/>
    </row>
    <row r="21" ht="22.5" customHeight="1">
      <c r="A21" s="17" t="inlineStr">
        <is>
          <t xml:space="preserve">L063</t>
        </is>
      </c>
      <c r="B21" s="18" t="inlineStr">
        <is>
          <t xml:space="preserve">Aaron</t>
        </is>
      </c>
      <c r="C21" s="17" t="inlineStr">
        <is>
          <t xml:space="preserve">Malaysian</t>
        </is>
      </c>
      <c r="D21" s="17" t="inlineStr">
        <is>
          <t xml:space="preserve">11/06/2026</t>
        </is>
      </c>
      <c r="E21" s="17" t="inlineStr">
        <is>
          <t xml:space="preserve">WhatsApp</t>
        </is>
      </c>
      <c r="F21" s="17" t="inlineStr">
        <is>
          <t xml:space="preserve">Hot 🔥</t>
        </is>
      </c>
      <c r="G21" s="17" t="inlineStr">
        <is>
          <t xml:space="preserve">Arranging viewing</t>
        </is>
      </c>
      <c r="H21" s="18" t="inlineStr">
        <is>
          <t xml:space="preserve">Tenant — Allevia Tower A 3BR, RM8–12k/mo (also owns A-29-02)</t>
        </is>
      </c>
      <c r="I21" s="18" t="inlineStr">
        <is>
          <t xml:space="preserve">Matched to Sharavana's Allevia B-29-01 (RM9,500/mo). A-29-02 owner-occupied — not for listing.</t>
        </is>
      </c>
      <c r="J21" s="17" t="inlineStr">
        <is>
          <t xml:space="preserve">Arrange viewing of Allevia B-29-01 with Sharavana; confirm date/time.</t>
        </is>
      </c>
      <c r="K21" s="17"/>
      <c r="L21" s="17"/>
      <c r="M21" s="17" t="inlineStr">
        <is>
          <t xml:space="preserve">English</t>
        </is>
      </c>
      <c r="N21" s="17" t="inlineStr">
        <is>
          <t xml:space="preserve">☐</t>
        </is>
      </c>
      <c r="O21" s="17" t="inlineStr">
        <is>
          <t xml:space="preserve">Also owner of Allevia A-29-02 — potential listing.</t>
        </is>
      </c>
    </row>
    <row r="22" ht="22.5" customHeight="1">
      <c r="A22" s="17" t="inlineStr">
        <is>
          <t xml:space="preserve">L064</t>
        </is>
      </c>
      <c r="B22" s="18" t="inlineStr">
        <is>
          <t xml:space="preserve">Eleena</t>
        </is>
      </c>
      <c r="C22" s="17" t="inlineStr">
        <is>
          <t xml:space="preserve">Malaysian</t>
        </is>
      </c>
      <c r="D22" s="17" t="inlineStr">
        <is>
          <t xml:space="preserve">16/06/2026</t>
        </is>
      </c>
      <c r="E22" s="17" t="inlineStr">
        <is>
          <t xml:space="preserve">WhatsApp</t>
        </is>
      </c>
      <c r="F22" s="17" t="inlineStr">
        <is>
          <t xml:space="preserve">Hot 🔥</t>
        </is>
      </c>
      <c r="G22" s="17" t="inlineStr">
        <is>
          <t xml:space="preserve">Viewing arranged 16/06</t>
        </is>
      </c>
      <c r="H22" s="18" t="inlineStr">
        <is>
          <t xml:space="preserve">Office lot (1 unit) Plaza MK Tower A — 500–800sf, RM2,500–3,000/mo, 2yr</t>
        </is>
      </c>
      <c r="I22" s="18" t="inlineStr">
        <is>
          <t xml:space="preserve">2 office options to view 16/06: Block B 750sf PF RM3,000 (Sherena Loh); Block E 800sf PF RM2,800 (Kate). Law firm, move-in Jul/Aug, 2yr.</t>
        </is>
      </c>
      <c r="J22" s="17" t="inlineStr">
        <is>
          <t xml:space="preserve">Show 2 options 16/06 2pm; help pick &amp; negotiate, close tenancy.</t>
        </is>
      </c>
      <c r="K22" s="17" t="inlineStr">
        <is>
          <t xml:space="preserve">16/06/2026 (Tue) 2pm Block B; 2:30pm Block E</t>
        </is>
      </c>
      <c r="L22" s="17"/>
      <c r="M22" s="17" t="inlineStr">
        <is>
          <t xml:space="preserve">Malay, English</t>
        </is>
      </c>
      <c r="N22" s="17" t="inlineStr">
        <is>
          <t xml:space="preserve">☐</t>
        </is>
      </c>
      <c r="O22" s="17" t="inlineStr">
        <is>
          <t xml:space="preserve">Co-agents: Sherena Loh +60126328583 (Block B); Kate +60122178588 (Block E).</t>
        </is>
      </c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inlineStr">
        <is>
          <t xml:space="preserve">Hartamas Heights bungalow LAND 6,500sf (to build)</t>
        </is>
      </c>
      <c r="E4" s="11" t="inlineStr">
        <is>
          <t xml:space="preserve">Hartamas Heights</t>
        </is>
      </c>
      <c r="F4" s="11" t="s">
        <v>631</v>
      </c>
      <c r="G4" s="11" t="inlineStr">
        <is>
          <t xml:space="preserve">✅ OFFER ACCEPTED — sign 15/06</t>
        </is>
      </c>
      <c r="H4" s="36">
        <v>5622500</v>
      </c>
      <c r="I4" s="51">
        <v>0.01</v>
      </c>
      <c r="J4" s="38">
        <f t="shared" ref="J4:J8" si="1">H4*I4</f>
        <v>56225</v>
      </c>
      <c r="K4" s="11" t="inlineStr">
        <is>
          <t xml:space="preserve">15/06/2026</t>
        </is>
      </c>
      <c r="L4" s="11"/>
      <c r="M4" s="11"/>
      <c r="N4" s="11"/>
      <c r="O4" s="12" t="inlineStr">
        <is>
          <t xml:space="preserve">✅ OFFER ACCEPTED RM865psf (RM5,622,500), 6,500sf Hartamas land. Sign offer letter + earnest deposit 15/06. CO-BROKE 50/50 w/ co-agent Caydence: gross comm 2%=RM112,450, Spencer share 1%=RM56,225.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s">
        <v>641</v>
      </c>
      <c r="E6" s="42" t="s">
        <v>56</v>
      </c>
      <c r="F6" s="42" t="s">
        <v>631</v>
      </c>
      <c r="G6" s="42" t="s">
        <v>642</v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s">
        <v>643</v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s">
        <v>646</v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5000000.0</v>
      </c>
      <c r="I8" s="51">
        <v>0.02</v>
      </c>
      <c r="J8" s="52">
        <f t="shared" si="1"/>
        <v>100000</v>
      </c>
      <c r="K8" s="8"/>
      <c r="L8" s="8"/>
      <c r="M8" s="8"/>
      <c r="N8" s="8"/>
      <c r="O8" s="9" t="s">
        <v>651</v>
      </c>
    </row>
    <row r="9" ht="32.25" customHeight="1">
      <c r="A9" s="8" t="inlineStr">
        <is>
          <t xml:space="preserve">D006</t>
        </is>
      </c>
      <c r="B9" s="9" t="inlineStr">
        <is>
          <t xml:space="preserve">Brian Cheah Jun Yu</t>
        </is>
      </c>
      <c r="C9" s="8" t="inlineStr">
        <is>
          <t xml:space="preserve">Malaysia</t>
        </is>
      </c>
      <c r="D9" s="9" t="inlineStr">
        <is>
          <t xml:space="preserve">AmanAra Residence, Bandar Utama</t>
        </is>
      </c>
      <c r="E9" s="8" t="inlineStr">
        <is>
          <t xml:space="preserve">Bandar Utama</t>
        </is>
      </c>
      <c r="F9" s="8" t="inlineStr">
        <is>
          <t xml:space="preserve">Rental</t>
        </is>
      </c>
      <c r="G9" s="8" t="inlineStr">
        <is>
          <t xml:space="preserve">Offer submitted — pending</t>
        </is>
      </c>
      <c r="H9" s="50">
        <v>4800</v>
      </c>
      <c r="I9" s="51"/>
      <c r="J9" s="52">
        <v>4800</v>
      </c>
      <c r="K9" s="8"/>
      <c r="L9" s="8"/>
      <c r="M9" s="8"/>
      <c r="N9" s="8"/>
      <c r="O9" s="9" t="inlineStr">
        <is>
          <t xml:space="preserve">AmanAra Residence (Bandar Utama) via JY Kam co-broke. Offer RM4,800/mo submitted 11/06; pending landlord revert. Comm = 1 mth rent.</t>
        </is>
      </c>
    </row>
    <row r="10" ht="32.25" customHeight="1">
      <c r="A10" s="8" t="inlineStr">
        <is>
          <t xml:space="preserve">D007</t>
        </is>
      </c>
      <c r="B10" s="9" t="inlineStr">
        <is>
          <t xml:space="preserve">Aisyah Hamid</t>
        </is>
      </c>
      <c r="C10" s="8" t="inlineStr">
        <is>
          <t xml:space="preserve">Malaysia</t>
        </is>
      </c>
      <c r="D10" s="9" t="inlineStr">
        <is>
          <t xml:space="preserve">Gombak Shoplot (KLTS Gombak)</t>
        </is>
      </c>
      <c r="E10" s="8" t="inlineStr">
        <is>
          <t xml:space="preserve">Gombak</t>
        </is>
      </c>
      <c r="F10" s="8" t="inlineStr">
        <is>
          <t xml:space="preserve">Rental</t>
        </is>
      </c>
      <c r="G10" s="8" t="inlineStr">
        <is>
          <t xml:space="preserve">Qualifying / Sourcing</t>
        </is>
      </c>
      <c r="H10" s="50">
        <v>6000</v>
      </c>
      <c r="I10" s="51"/>
      <c r="J10" s="52">
        <v>6000</v>
      </c>
      <c r="K10" s="8"/>
      <c r="L10" s="8"/>
      <c r="M10" s="8"/>
      <c r="N10" s="8"/>
      <c r="O10" s="9" t="inlineStr">
        <is>
          <t xml:space="preserve">F&amp;B tenant (JNC Burger). Ground-floor Gombak shoplot ~RM6k/mo. Target move-in Aug 2026. Comm = 1 mth rent.</t>
        </is>
      </c>
    </row>
    <row r="11" ht="32.25" customHeight="1">
      <c r="A11" s="8" t="inlineStr">
        <is>
          <t xml:space="preserve">D008</t>
        </is>
      </c>
      <c r="B11" s="9" t="inlineStr">
        <is>
          <t xml:space="preserve">Nas (Kenangan Coffee)</t>
        </is>
      </c>
      <c r="C11" s="8" t="inlineStr">
        <is>
          <t xml:space="preserve">Malaysia</t>
        </is>
      </c>
      <c r="D11" s="9" t="inlineStr">
        <is>
          <t xml:space="preserve">KLTS Setapak 51-G-1 (Patrick Chow)</t>
        </is>
      </c>
      <c r="E11" s="8" t="inlineStr">
        <is>
          <t xml:space="preserve">Gombak</t>
        </is>
      </c>
      <c r="F11" s="8" t="inlineStr">
        <is>
          <t xml:space="preserve">Rental</t>
        </is>
      </c>
      <c r="G11" s="8" t="inlineStr">
        <is>
          <t xml:space="preserve">Offer placed — negotiating</t>
        </is>
      </c>
      <c r="H11" s="50">
        <v>8500</v>
      </c>
      <c r="I11" s="51"/>
      <c r="J11" s="52">
        <v>8500</v>
      </c>
      <c r="K11" s="8"/>
      <c r="L11" s="8"/>
      <c r="M11" s="8"/>
      <c r="N11" s="8"/>
      <c r="O11" s="9" t="inlineStr">
        <is>
          <t xml:space="preserve">Kenangan Coffee for Patrick Chow KLTS Setapak 51-G-1. Offer RM8,500(yr1)/9,000(yr2-3), 3+3yrs; reno-period gap (15d vs 1mth). Comm = 1 mth rent.</t>
        </is>
      </c>
    </row>
    <row r="12" ht="32.25" customHeight="1">
      <c r="A12" s="8" t="inlineStr">
        <is>
          <t xml:space="preserve">D009</t>
        </is>
      </c>
      <c r="B12" s="9" t="inlineStr">
        <is>
          <t xml:space="preserve">Stephanie</t>
        </is>
      </c>
      <c r="C12" s="8" t="inlineStr">
        <is>
          <t xml:space="preserve">Malaysia</t>
        </is>
      </c>
      <c r="D12" s="9" t="inlineStr">
        <is>
          <t xml:space="preserve">Astrea Mont Kiara (20-01 viewed)</t>
        </is>
      </c>
      <c r="E12" s="8" t="inlineStr">
        <is>
          <t xml:space="preserve">Mont Kiara</t>
        </is>
      </c>
      <c r="F12" s="8" t="inlineStr">
        <is>
          <t xml:space="preserve">Rental</t>
        </is>
      </c>
      <c r="G12" s="8" t="inlineStr">
        <is>
          <t xml:space="preserve">Viewing — Gauging Interest</t>
        </is>
      </c>
      <c r="H12" s="50">
        <v>6000</v>
      </c>
      <c r="I12" s="51"/>
      <c r="J12" s="52">
        <v>6000</v>
      </c>
      <c r="K12" s="8"/>
      <c r="L12" s="8"/>
      <c r="M12" s="8"/>
      <c r="N12" s="8"/>
      <c r="O12" s="9" t="inlineStr">
        <is>
          <t xml:space="preserve">Viewed Astrea 20-01 (1,828sf 3BR). Budget RM6k/mo. Comm = 1 mth rent.</t>
        </is>
      </c>
    </row>
    <row r="13" ht="32.25" customHeight="1">
      <c r="A13" s="8" t="inlineStr">
        <is>
          <t xml:space="preserve">D010</t>
        </is>
      </c>
      <c r="B13" s="9" t="inlineStr">
        <is>
          <t xml:space="preserve">Aaron</t>
        </is>
      </c>
      <c r="C13" s="8" t="inlineStr">
        <is>
          <t xml:space="preserve">Malaysia</t>
        </is>
      </c>
      <c r="D13" s="9" t="inlineStr">
        <is>
          <t xml:space="preserve">Allevia B-29-01 (3BR) — Sharavana unit</t>
        </is>
      </c>
      <c r="E13" s="8" t="inlineStr">
        <is>
          <t xml:space="preserve">Mont Kiara</t>
        </is>
      </c>
      <c r="F13" s="8" t="inlineStr">
        <is>
          <t xml:space="preserve">Rental</t>
        </is>
      </c>
      <c r="G13" s="8" t="inlineStr">
        <is>
          <t xml:space="preserve">Viewing arranging</t>
        </is>
      </c>
      <c r="H13" s="50">
        <v>9500</v>
      </c>
      <c r="I13" s="51"/>
      <c r="J13" s="52">
        <v>9500</v>
      </c>
      <c r="K13" s="8"/>
      <c r="L13" s="8"/>
      <c r="M13" s="8"/>
      <c r="N13" s="8"/>
      <c r="O13" s="9" t="inlineStr">
        <is>
          <t xml:space="preserve">Matched to Sharavana's B-29-01 @ RM9,500/mo; arranging viewing. Aaron also owns A-29-02 (own stay, not listing). Comm = 1 mth rent.</t>
        </is>
      </c>
    </row>
    <row r="14" ht="32.25" customHeight="1">
      <c r="A14" s="8" t="inlineStr">
        <is>
          <t xml:space="preserve">D011</t>
        </is>
      </c>
      <c r="B14" s="9" t="inlineStr">
        <is>
          <t xml:space="preserve">Eleena</t>
        </is>
      </c>
      <c r="C14" s="8" t="inlineStr">
        <is>
          <t xml:space="preserve">Malaysia</t>
        </is>
      </c>
      <c r="D14" s="9" t="inlineStr">
        <is>
          <t xml:space="preserve">Plaza Mont Kiara Tower A (1 office lot)</t>
        </is>
      </c>
      <c r="E14" s="8" t="inlineStr">
        <is>
          <t xml:space="preserve">Mont Kiara</t>
        </is>
      </c>
      <c r="F14" s="8" t="inlineStr">
        <is>
          <t xml:space="preserve">Rental</t>
        </is>
      </c>
      <c r="G14" s="8" t="inlineStr">
        <is>
          <t xml:space="preserve">Viewing arranged 16/06</t>
        </is>
      </c>
      <c r="H14" s="50">
        <v>2750</v>
      </c>
      <c r="I14" s="51"/>
      <c r="J14" s="52">
        <v>2750</v>
      </c>
      <c r="K14" s="8"/>
      <c r="L14" s="8"/>
      <c r="M14" s="8"/>
      <c r="N14" s="8"/>
      <c r="O14" s="9" t="inlineStr">
        <is>
          <t xml:space="preserve">Law firm — 1 office lot Plaza MK. Viewing 16/06: Block B 750sf RM3k / Block E 800sf RM2.8k. 2yr, move-in Jul/Aug. Comm = 1 mth rent.</t>
        </is>
      </c>
    </row>
    <row r="15">
      <c r="A15" s="53" t="inlineStr">
        <is>
          <t xml:space="preserve">TOTAL ESTIMATED COMMISSION (if all close)</t>
        </is>
      </c>
      <c r="B15" s="54"/>
      <c r="C15" s="54"/>
      <c r="D15" s="54"/>
      <c r="E15" s="54"/>
      <c r="F15" s="54"/>
      <c r="G15" s="54"/>
      <c r="H15" s="54"/>
      <c r="I15" s="55"/>
      <c r="J15" s="56">
        <f>SUM(J4:J14)</f>
        <v>309775</v>
      </c>
      <c r="K15" s="57"/>
      <c r="L15" s="57"/>
      <c r="M15" s="57"/>
      <c r="N15" s="57"/>
      <c r="O15" s="57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5:I15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64</t>
        </is>
      </c>
      <c r="B5" s="55"/>
      <c r="C5" s="25"/>
      <c r="D5" s="61" t="inlineStr">
        <is>
          <t>15</t>
        </is>
      </c>
      <c r="E5" s="55"/>
      <c r="F5" s="25"/>
      <c r="G5" s="61" t="s">
        <v>661</v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16.5mil</t>
        </is>
      </c>
      <c r="E9" s="55"/>
      <c r="F9" s="25"/>
      <c r="G9" s="61" t="inlineStr">
        <is>
          <t xml:space="preserve">RM 310k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11 active deals · 5 sale + 6 rent</t>
        </is>
      </c>
      <c r="E10" s="55"/>
      <c r="F10" s="25"/>
      <c r="G10" s="62" t="inlineStr">
        <is>
          <t xml:space="preserve">if all 11 close (incl 6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✅ WON — Datuk Francis Hartamas 6,500sf land RM5.6225m (co-broke 50/50 w/ Caydence, Spencer share RM56.2k); sign 15/06. Drive to SPA.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